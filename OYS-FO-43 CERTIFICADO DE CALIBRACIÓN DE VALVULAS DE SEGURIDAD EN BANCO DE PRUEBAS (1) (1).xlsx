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Users\Comercial VALSER\Downloads\"/>
    </mc:Choice>
  </mc:AlternateContent>
  <xr:revisionPtr revIDLastSave="0" documentId="13_ncr:1_{01A9F240-A2B4-4334-AC1A-50DA1CC630EE}" xr6:coauthVersionLast="47" xr6:coauthVersionMax="47" xr10:uidLastSave="{00000000-0000-0000-0000-000000000000}"/>
  <bookViews>
    <workbookView xWindow="-108" yWindow="-108" windowWidth="23256" windowHeight="12576" xr2:uid="{8E940E52-CF0C-4BA1-95E5-6D78B11CA198}"/>
  </bookViews>
  <sheets>
    <sheet name="CALIBRACIÓN PSV" sheetId="4" r:id="rId1"/>
    <sheet name="DATOS INCERTIDUMBRE" sheetId="5" r:id="rId2"/>
    <sheet name="CÁLCULO INCERTIDUMBRE" sheetId="8" r:id="rId3"/>
    <sheet name="CONTROL DE CAMBIOS" sheetId="2" r:id="rId4"/>
  </sheets>
  <definedNames>
    <definedName name="_xlnm.Print_Area" localSheetId="0">'CALIBRACIÓN PSV'!$B$1:$O$69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5" l="1"/>
  <c r="D12" i="5"/>
  <c r="D13" i="5"/>
  <c r="D10" i="5"/>
  <c r="N27" i="4" l="1"/>
  <c r="L27" i="4"/>
  <c r="K27" i="4"/>
  <c r="H27" i="4"/>
  <c r="E27" i="4"/>
  <c r="D27" i="4"/>
  <c r="G27" i="4"/>
  <c r="D26" i="8"/>
  <c r="E26" i="8"/>
  <c r="F26" i="8"/>
  <c r="H26" i="8"/>
  <c r="C10" i="8" l="1"/>
  <c r="C11" i="8"/>
  <c r="C12" i="8"/>
  <c r="C13" i="8"/>
  <c r="C14" i="8" l="1"/>
  <c r="G20" i="8"/>
  <c r="G26" i="8" s="1"/>
  <c r="I26" i="8" s="1"/>
  <c r="D32" i="8" s="1"/>
  <c r="F11" i="8"/>
  <c r="F10" i="8"/>
  <c r="F9" i="8"/>
  <c r="S50" i="4"/>
  <c r="S49" i="4"/>
  <c r="N36" i="4"/>
  <c r="C54" i="4"/>
  <c r="N29" i="4"/>
  <c r="N28" i="4"/>
  <c r="L29" i="4"/>
  <c r="L28" i="4"/>
  <c r="K29" i="4"/>
  <c r="K28" i="4"/>
  <c r="H29" i="4"/>
  <c r="H28" i="4"/>
  <c r="G28" i="4"/>
  <c r="E28" i="4"/>
  <c r="D28" i="4"/>
  <c r="G35" i="8"/>
  <c r="F35" i="8"/>
  <c r="E47" i="8" s="1"/>
  <c r="E35" i="8"/>
  <c r="D35" i="8"/>
  <c r="C6" i="8" l="1"/>
  <c r="E32" i="8"/>
  <c r="M39" i="8"/>
  <c r="H58" i="8" s="1"/>
  <c r="M38" i="8"/>
  <c r="M40" i="8"/>
  <c r="F60" i="8"/>
  <c r="E60" i="8"/>
  <c r="D60" i="8"/>
  <c r="C60" i="8"/>
  <c r="F59" i="8"/>
  <c r="E59" i="8"/>
  <c r="D59" i="8"/>
  <c r="C59" i="8"/>
  <c r="F58" i="8"/>
  <c r="E58" i="8"/>
  <c r="D58" i="8"/>
  <c r="C58" i="8"/>
  <c r="G58" i="8" s="1"/>
  <c r="F47" i="8"/>
  <c r="D47" i="8"/>
  <c r="C47" i="8"/>
  <c r="G46" i="8"/>
  <c r="I46" i="8" s="1"/>
  <c r="H45" i="8"/>
  <c r="H44" i="8"/>
  <c r="G44" i="8"/>
  <c r="I44" i="8" s="1"/>
  <c r="D6" i="8" l="1"/>
  <c r="E6" i="8" s="1"/>
  <c r="F6" i="8" s="1"/>
  <c r="I2" i="8" s="1"/>
  <c r="M6" i="5" s="1"/>
  <c r="G59" i="8"/>
  <c r="I59" i="8" s="1"/>
  <c r="G60" i="8"/>
  <c r="I60" i="8" s="1"/>
  <c r="G47" i="8"/>
  <c r="I47" i="8" s="1"/>
  <c r="H59" i="8"/>
  <c r="H60" i="8"/>
  <c r="I58" i="8"/>
  <c r="C39" i="8"/>
  <c r="B63" i="8" l="1"/>
  <c r="C63" i="8" s="1"/>
  <c r="I45" i="8" s="1"/>
  <c r="H47" i="8"/>
  <c r="H46" i="8"/>
  <c r="F25" i="8"/>
  <c r="G45" i="8" l="1"/>
  <c r="B50" i="8" s="1"/>
  <c r="M20" i="8"/>
  <c r="M18" i="8"/>
  <c r="H25" i="8"/>
  <c r="E25" i="8"/>
  <c r="D25" i="8"/>
  <c r="H24" i="8"/>
  <c r="F24" i="8"/>
  <c r="E24" i="8"/>
  <c r="D24" i="8"/>
  <c r="H23" i="8"/>
  <c r="F23" i="8"/>
  <c r="E23" i="8"/>
  <c r="D23" i="8"/>
  <c r="C50" i="8" l="1"/>
  <c r="D50" i="8"/>
  <c r="G19" i="8"/>
  <c r="G25" i="8" s="1"/>
  <c r="G17" i="8"/>
  <c r="G23" i="8" s="1"/>
  <c r="I23" i="8" s="1"/>
  <c r="D29" i="8" s="1"/>
  <c r="E29" i="8" s="1"/>
  <c r="G18" i="8"/>
  <c r="G24" i="8" s="1"/>
  <c r="I24" i="8" s="1"/>
  <c r="D30" i="8" s="1"/>
  <c r="E30" i="8" s="1"/>
  <c r="M27" i="8"/>
  <c r="C3" i="8" l="1"/>
  <c r="C4" i="8"/>
  <c r="D4" i="8" l="1"/>
  <c r="E4" i="8" s="1"/>
  <c r="F4" i="8" s="1"/>
  <c r="D3" i="8"/>
  <c r="E3" i="8" s="1"/>
  <c r="F3" i="8" s="1"/>
  <c r="N6" i="5"/>
  <c r="N7" i="5"/>
  <c r="N8" i="5"/>
  <c r="N9" i="5"/>
  <c r="N10" i="5"/>
  <c r="N5" i="5"/>
  <c r="O6" i="5"/>
  <c r="O7" i="5"/>
  <c r="O8" i="5"/>
  <c r="O9" i="5"/>
  <c r="O10" i="5"/>
  <c r="O5" i="5"/>
  <c r="F43" i="4" l="1"/>
  <c r="J43" i="4"/>
  <c r="J45" i="4" l="1"/>
  <c r="J44" i="4"/>
  <c r="F45" i="4"/>
  <c r="F44" i="4"/>
  <c r="K38" i="4"/>
  <c r="L7" i="5" l="1"/>
  <c r="C19" i="5"/>
  <c r="C17" i="5"/>
  <c r="L9" i="5"/>
  <c r="L8" i="5"/>
  <c r="I50" i="4"/>
  <c r="L6" i="5" l="1"/>
  <c r="D17" i="5"/>
  <c r="D50" i="4" s="1"/>
  <c r="U49" i="4" l="1"/>
  <c r="I25" i="8"/>
  <c r="D31" i="8" s="1"/>
  <c r="C5" i="8" l="1"/>
  <c r="E31" i="8"/>
  <c r="D5" i="8" l="1"/>
  <c r="E5" i="8" s="1"/>
  <c r="F5" i="8" l="1"/>
  <c r="S52" i="4"/>
  <c r="C52" i="4" s="1"/>
  <c r="M7" i="5" l="1"/>
  <c r="M8" i="5"/>
  <c r="G50" i="4"/>
  <c r="K50" i="4" s="1"/>
  <c r="M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Comercial</author>
  </authors>
  <commentList>
    <comment ref="F23" authorId="0" shapeId="0" xr:uid="{7C636BC5-227A-4B7E-8920-188A7EA3493B}">
      <text>
        <r>
          <rPr>
            <b/>
            <sz val="9"/>
            <color indexed="81"/>
            <rFont val="Tahoma"/>
            <family val="2"/>
          </rPr>
          <t>Comercial:</t>
        </r>
        <r>
          <rPr>
            <sz val="9"/>
            <color indexed="81"/>
            <rFont val="Tahoma"/>
            <family val="2"/>
          </rPr>
          <t xml:space="preserve">
Incertidumbre por interpolación, rango del manómetro de 0-3000 psi</t>
        </r>
      </text>
    </comment>
    <comment ref="F24" authorId="0" shapeId="0" xr:uid="{0982BCE5-4E23-4EDD-8E40-49FBF69CBD69}">
      <text>
        <r>
          <rPr>
            <b/>
            <sz val="9"/>
            <color indexed="81"/>
            <rFont val="Tahoma"/>
            <family val="2"/>
          </rPr>
          <t>Comercial:</t>
        </r>
        <r>
          <rPr>
            <sz val="9"/>
            <color indexed="81"/>
            <rFont val="Tahoma"/>
            <family val="2"/>
          </rPr>
          <t xml:space="preserve">
Incertidumbre por interpolación</t>
        </r>
      </text>
    </comment>
    <comment ref="F25" authorId="0" shapeId="0" xr:uid="{018CB1F7-F3E3-4807-91D9-F59051214AB4}">
      <text>
        <r>
          <rPr>
            <b/>
            <sz val="9"/>
            <color indexed="81"/>
            <rFont val="Tahoma"/>
            <family val="2"/>
          </rPr>
          <t>Comercial:</t>
        </r>
        <r>
          <rPr>
            <sz val="9"/>
            <color indexed="81"/>
            <rFont val="Tahoma"/>
            <family val="2"/>
          </rPr>
          <t xml:space="preserve">
Incertidumbre por interpolación, rango del manómetro de 0-1000 psi</t>
        </r>
      </text>
    </comment>
    <comment ref="B45" authorId="0" shapeId="0" xr:uid="{1B075084-4523-47A4-A67C-FFF0D355E19B}">
      <text>
        <r>
          <rPr>
            <b/>
            <sz val="9"/>
            <color indexed="81"/>
            <rFont val="Tahoma"/>
            <family val="2"/>
          </rPr>
          <t>Comercial:</t>
        </r>
        <r>
          <rPr>
            <sz val="9"/>
            <color indexed="81"/>
            <rFont val="Tahoma"/>
            <family val="2"/>
          </rPr>
          <t xml:space="preserve">
La presión, temperatura y humedad, completan la incertidumbre por densidad del aire</t>
        </r>
      </text>
    </comment>
    <comment ref="F53" authorId="0" shapeId="0" xr:uid="{E64E20E0-1D9F-4677-9015-28D02EE7F511}">
      <text>
        <r>
          <rPr>
            <b/>
            <sz val="9"/>
            <color indexed="81"/>
            <rFont val="Tahoma"/>
            <family val="2"/>
          </rPr>
          <t>Comercial:</t>
        </r>
        <r>
          <rPr>
            <sz val="9"/>
            <color indexed="81"/>
            <rFont val="Tahoma"/>
            <family val="2"/>
          </rPr>
          <t xml:space="preserve">
Incertidumbre por error NO corregido</t>
        </r>
      </text>
    </comment>
    <comment ref="F54" authorId="0" shapeId="0" xr:uid="{E923765E-65D6-4935-80BC-D73FD91AAF09}">
      <text>
        <r>
          <rPr>
            <b/>
            <sz val="9"/>
            <color indexed="81"/>
            <rFont val="Tahoma"/>
            <family val="2"/>
          </rPr>
          <t>Comercial:</t>
        </r>
        <r>
          <rPr>
            <sz val="9"/>
            <color indexed="81"/>
            <rFont val="Tahoma"/>
            <family val="2"/>
          </rPr>
          <t xml:space="preserve">
Incertidumbre por error no corregido</t>
        </r>
      </text>
    </comment>
    <comment ref="F55" authorId="0" shapeId="0" xr:uid="{84A21249-4AB0-498A-95B1-8E6542F5EF51}">
      <text>
        <r>
          <rPr>
            <b/>
            <sz val="9"/>
            <color indexed="81"/>
            <rFont val="Tahoma"/>
            <family val="2"/>
          </rPr>
          <t>Comercial:</t>
        </r>
        <r>
          <rPr>
            <sz val="9"/>
            <color indexed="81"/>
            <rFont val="Tahoma"/>
            <family val="2"/>
          </rPr>
          <t xml:space="preserve">
Por interpolación</t>
        </r>
      </text>
    </comment>
    <comment ref="B58" authorId="0" shapeId="0" xr:uid="{3076CE79-1B4F-4BAB-81DB-764F82D06C19}">
      <text>
        <r>
          <rPr>
            <b/>
            <sz val="9"/>
            <color indexed="81"/>
            <rFont val="Tahoma"/>
            <family val="2"/>
          </rPr>
          <t>Comercial:</t>
        </r>
        <r>
          <rPr>
            <sz val="9"/>
            <color indexed="81"/>
            <rFont val="Tahoma"/>
            <family val="2"/>
          </rPr>
          <t xml:space="preserve">
La presión, temperatura y humedad, completan la incertidumbre por densidad del aire</t>
        </r>
      </text>
    </comment>
  </commentList>
</comments>
</file>

<file path=xl/sharedStrings.xml><?xml version="1.0" encoding="utf-8"?>
<sst xmlns="http://schemas.openxmlformats.org/spreadsheetml/2006/main" count="389" uniqueCount="275">
  <si>
    <t xml:space="preserve">CERTIFICADO DE CALIBRACIÓN DE VÁLVULA DE SEGURIDAD EN BANCO DE PRUEBAS  </t>
  </si>
  <si>
    <t>CÓDIGO</t>
  </si>
  <si>
    <t>OYS-FO-43</t>
  </si>
  <si>
    <t>VERSIÓN</t>
  </si>
  <si>
    <t>FECHA</t>
  </si>
  <si>
    <t>SECCIÓN 1. INFORMACIÓN DEL LABORATORIO</t>
  </si>
  <si>
    <t>MÉTODO UTILIZADO:</t>
  </si>
  <si>
    <t>ASME PTC 25 - MÉTODO DIRECTO</t>
  </si>
  <si>
    <t>FECHA DE RECEPCIÓN:</t>
  </si>
  <si>
    <t>LUGAR DE PRUEBA:</t>
  </si>
  <si>
    <t>FECHA DE CALIBRACIÓN:</t>
  </si>
  <si>
    <t>LABORATORIO VALSER</t>
  </si>
  <si>
    <t>INSTALACIONES DEL CLIENTE</t>
  </si>
  <si>
    <t>NÚMERO DE CERTIFICADO:</t>
  </si>
  <si>
    <t>CAL-</t>
  </si>
  <si>
    <t>FECHA DE EMISIÓN:</t>
  </si>
  <si>
    <t>SECCIÓN 2. INFORMACIÓN DEL CLIENTE</t>
  </si>
  <si>
    <r>
      <t>CLIENTE:</t>
    </r>
    <r>
      <rPr>
        <sz val="10"/>
        <rFont val="Calibri"/>
        <family val="2"/>
        <scheme val="minor"/>
      </rPr>
      <t xml:space="preserve"> </t>
    </r>
  </si>
  <si>
    <t>CONTACTO:</t>
  </si>
  <si>
    <t>CORREO:</t>
  </si>
  <si>
    <t xml:space="preserve">SECCIÓN 3. INFORMACIÓN VÁLVULA DE SEGURIDAD </t>
  </si>
  <si>
    <t>LOCALIZACIÓN:</t>
  </si>
  <si>
    <t>TAG:</t>
  </si>
  <si>
    <t>Nº PRECINTO:</t>
  </si>
  <si>
    <t>MARCA:</t>
  </si>
  <si>
    <t>TAMAÑO:</t>
  </si>
  <si>
    <t>CONEXIÓN ENTxSAL:</t>
  </si>
  <si>
    <t>MODELO:</t>
  </si>
  <si>
    <t>Nº SERIE:</t>
  </si>
  <si>
    <t>PRESIÓN CALIBRACIÓN:</t>
  </si>
  <si>
    <t>psi</t>
  </si>
  <si>
    <t>SECCIÓN 4. PATRONES DE TRABAJO</t>
  </si>
  <si>
    <t>EQUIPO</t>
  </si>
  <si>
    <t>MARCA</t>
  </si>
  <si>
    <t>MODELO</t>
  </si>
  <si>
    <t>SERIAL</t>
  </si>
  <si>
    <t>CALIBRADO POR</t>
  </si>
  <si>
    <t>RANGO</t>
  </si>
  <si>
    <t>FECHA CALIBRACIÓN</t>
  </si>
  <si>
    <t>N° DE CERTIFICADO</t>
  </si>
  <si>
    <t>FECHA DE CALIBRACIÓN</t>
  </si>
  <si>
    <t>CERTIFICADO</t>
  </si>
  <si>
    <t>CERTIFICADOR</t>
  </si>
  <si>
    <t>MANÓMETRO</t>
  </si>
  <si>
    <t>ADDITEL</t>
  </si>
  <si>
    <t>211H200A0024</t>
  </si>
  <si>
    <t>(0 a 3000) psi</t>
  </si>
  <si>
    <t>TESTO</t>
  </si>
  <si>
    <t>39536692/0323</t>
  </si>
  <si>
    <t>(-20 a 60) °C / (0 a 100) %hr</t>
  </si>
  <si>
    <t>HR-4914-25 / TE-8606-25</t>
  </si>
  <si>
    <t>VALMET L&amp;M</t>
  </si>
  <si>
    <t>TERMOHIGRÓMETRO</t>
  </si>
  <si>
    <t>CRYSTAL</t>
  </si>
  <si>
    <t>XP2I</t>
  </si>
  <si>
    <t>(0 a 5000) psi</t>
  </si>
  <si>
    <t>(300 a 1200) hPa</t>
  </si>
  <si>
    <t xml:space="preserve"> MET-LP-CC 12662</t>
  </si>
  <si>
    <t>METROLABOR</t>
  </si>
  <si>
    <t>(0 a 1000) psi</t>
  </si>
  <si>
    <t>FLEXILATINA</t>
  </si>
  <si>
    <t>KEX GERMANY</t>
  </si>
  <si>
    <t>SH-172</t>
  </si>
  <si>
    <t>(10 a 90) %hr</t>
  </si>
  <si>
    <t>HR-28703</t>
  </si>
  <si>
    <t>FYH</t>
  </si>
  <si>
    <t>(-50 a 70) °C</t>
  </si>
  <si>
    <t>TA-28702</t>
  </si>
  <si>
    <t>Nota: Las mediciones realizadas por VALSER S.A.S son trazables metrológicamente al SI a través de laboratorios de calibración acreditados por organismos de acreditación firmantes de acuerdos de reconocimiento mutuo.</t>
  </si>
  <si>
    <t>NITRÓGENO</t>
  </si>
  <si>
    <t>SÍ</t>
  </si>
  <si>
    <t>ASME I</t>
  </si>
  <si>
    <t>SECCIÓN 5. INFORMACIÓN DE FUNCIONAMIENTO</t>
  </si>
  <si>
    <t>AIRE</t>
  </si>
  <si>
    <t>NO</t>
  </si>
  <si>
    <t>ASME VIII</t>
  </si>
  <si>
    <t>GAS</t>
  </si>
  <si>
    <t>SELLADO:</t>
  </si>
  <si>
    <t>NORMA APLICABLE:</t>
  </si>
  <si>
    <t>ERROR MÁXIMO:</t>
  </si>
  <si>
    <t>AGUA</t>
  </si>
  <si>
    <t xml:space="preserve">REQUIERE AJUSTE: </t>
  </si>
  <si>
    <t>VALOR ANTES DE AJUSTE:</t>
  </si>
  <si>
    <t>FLUIDO DE PRUEBA:</t>
  </si>
  <si>
    <t>SECCIÓN 6: CONDICIONES AMBIENTALES REGISTRADAS</t>
  </si>
  <si>
    <t>RANGO PRESIÓN</t>
  </si>
  <si>
    <t>TOLERANCIA</t>
  </si>
  <si>
    <t>MÍNIMA</t>
  </si>
  <si>
    <t>MÁXIMA</t>
  </si>
  <si>
    <t>UNIDADES</t>
  </si>
  <si>
    <t>15-70</t>
  </si>
  <si>
    <t>+-2 psi</t>
  </si>
  <si>
    <t>15 - 70 PSI</t>
  </si>
  <si>
    <t>TEMPERATURA</t>
  </si>
  <si>
    <t>°C</t>
  </si>
  <si>
    <t>70-300</t>
  </si>
  <si>
    <t>+-3% DEL SET</t>
  </si>
  <si>
    <t>70-3000</t>
  </si>
  <si>
    <t>HUMEDAD RELATIVA</t>
  </si>
  <si>
    <t>%hr</t>
  </si>
  <si>
    <t>300-1000</t>
  </si>
  <si>
    <t>+-10 psi</t>
  </si>
  <si>
    <t>PRESIÓN ATMOSFÉRICA</t>
  </si>
  <si>
    <t>hPa</t>
  </si>
  <si>
    <t>+-1% DEL SET</t>
  </si>
  <si>
    <t>SECCIÓN 7: RESULTADOS DE CALIBRACIÓN</t>
  </si>
  <si>
    <t>Presión de escape (Simmer)</t>
  </si>
  <si>
    <t>Incertidumbre</t>
  </si>
  <si>
    <t>DECLARACIÓN DE CONFORMIDAD</t>
  </si>
  <si>
    <t>Limite superior</t>
  </si>
  <si>
    <t>Incertidumbre máxima</t>
  </si>
  <si>
    <t>Limite inferior</t>
  </si>
  <si>
    <t>k</t>
  </si>
  <si>
    <t>ASME SEC. I parágrafo 72.2</t>
  </si>
  <si>
    <t xml:space="preserve">Los resultados de conformidad aplican para la presión de escape. La presión de escape no debe exceder la especificación establecida en </t>
  </si>
  <si>
    <t>ASME SEC VIII parágrafo UG-126 punto c</t>
  </si>
  <si>
    <t xml:space="preserve"> de acuerdo con el set de presión tomado de la placa del fabricante. Adicionalmente, la incertidumbre de medición no debe ser mayor al ±1,0 % del valor medido, conforme a lo establecido en el numeral 1-3 de ASME PTC 25-2023.</t>
  </si>
  <si>
    <t>SECCIÓN 8: REPRESENTACIÓN GRÁFICA EN UNIDADES DEL EQUIPO</t>
  </si>
  <si>
    <t>SECCIÓN 9: GRÁFICA EMITIDA POR EL MANÓMETRO</t>
  </si>
  <si>
    <r>
      <rPr>
        <b/>
        <sz val="11"/>
        <color theme="1"/>
        <rFont val="Calibri"/>
        <family val="2"/>
        <scheme val="minor"/>
      </rPr>
      <t>OBSERVACIONES:</t>
    </r>
    <r>
      <rPr>
        <sz val="11"/>
        <color theme="1"/>
        <rFont val="Calibri"/>
        <family val="2"/>
        <scheme val="minor"/>
      </rPr>
      <t xml:space="preserve">
- Este certificado expresa fielmente el resultado de las mediciones realizadas. NO podrá ser reproducido total o parcialmente excepto cuando se haya obtenido previamente permiso por escrito del laboratorio que lo emite.
- Los resultados del presente certificado se refieren al ítem, momento y condiciones en que se realizó la prueba, VALSER S.A.S. no se responsabiliza de los perjuicios que pueda ocasionar el uso inadecuado del servicio prestado. 
</t>
    </r>
    <r>
      <rPr>
        <sz val="11"/>
        <rFont val="Calibri"/>
        <family val="2"/>
        <scheme val="minor"/>
      </rPr>
      <t>- La presión de escape corresponde al promedio de los 4 escapes registrados durante la calibración, evidenciados en la gráfica de la sección 8.</t>
    </r>
    <r>
      <rPr>
        <sz val="11"/>
        <color theme="1"/>
        <rFont val="Calibri"/>
        <family val="2"/>
        <scheme val="minor"/>
      </rPr>
      <t xml:space="preserve">
- La conversión de unidades para pasar a unidades del SI (kPa= psi * 6,894 757) esta conversión es tomada según la guía NIST SP-811 del 2008 sección B.9
- Descargo de responsabilidad ajuste válvulas de seguridad: Con la aceptación del servicio de calibración de las válvulas de seguridad, se da por entendido que se autoriza el ajuste de la válvula para dejarla al set de presión indicado en la placa del equipo de acuerdo con lo establecido en el GON-FO-04</t>
    </r>
  </si>
  <si>
    <t>- Descargo de responsabilidad por cambio de set de presión: Por solicitud del cliente, se realiza la calibración y ajuste a una presión diferente a la indicada en la placa del fabricante. Por lo anterior VALSER S.A.S. no se hace responsable por este cambio.</t>
  </si>
  <si>
    <t>- Descargo de responsabilidad por válvula sin placa de identificación: Se realiza la calibración y ajuste de la válvula de seguridad a la presión indicada por el cliente, debido a que la válvula no tiene placa del fabricante. Por lo anterior VALSER S.A.S. no se hace responsable de esta información.</t>
  </si>
  <si>
    <t>DESCARGOS DE RESPONSABILIDAD</t>
  </si>
  <si>
    <t>JONATHAN GARZÓN CORTES</t>
  </si>
  <si>
    <t>HELIODORO PRADA GARNICA</t>
  </si>
  <si>
    <t>CARLOS A. SUAREZ FRANCO</t>
  </si>
  <si>
    <t>CAMILO A. FAJARDO HOYOS</t>
  </si>
  <si>
    <t>ANDRÉS F. OVALLE ORTIZ</t>
  </si>
  <si>
    <t>JULIAN C. ROMERO HUERTAS</t>
  </si>
  <si>
    <t>OPERARIO CALIBRACIÓN</t>
  </si>
  <si>
    <t>ELABORÓ INFORME</t>
  </si>
  <si>
    <t>REVISÓ Y AUTORIZÓ INFORME</t>
  </si>
  <si>
    <t>Fin del certificado</t>
  </si>
  <si>
    <t>J. ALEXANDER CASTRO</t>
  </si>
  <si>
    <t>BRAYAN GARCÍA</t>
  </si>
  <si>
    <t>Mínimo</t>
  </si>
  <si>
    <t>Máximo</t>
  </si>
  <si>
    <t>Datos de prueba</t>
  </si>
  <si>
    <t>Temperatura (°C)</t>
  </si>
  <si>
    <t>Manometro</t>
  </si>
  <si>
    <t>Manómetro Crystal 1K</t>
  </si>
  <si>
    <t>Manómetro Crystal 5K</t>
  </si>
  <si>
    <t>Grafica</t>
  </si>
  <si>
    <t>Presión atmosferica (hPa)</t>
  </si>
  <si>
    <t>Termohigrometro</t>
  </si>
  <si>
    <t xml:space="preserve">Testo </t>
  </si>
  <si>
    <t>Punto</t>
  </si>
  <si>
    <t>Valor</t>
  </si>
  <si>
    <t>EMP (arriba)</t>
  </si>
  <si>
    <t>Humedad relativa (%)</t>
  </si>
  <si>
    <t>Lugar de prueba</t>
  </si>
  <si>
    <t>Manómetro Additel</t>
  </si>
  <si>
    <t>-</t>
  </si>
  <si>
    <t>Hora de prueba</t>
  </si>
  <si>
    <t>Operario</t>
  </si>
  <si>
    <t>Simmer (PSI)</t>
  </si>
  <si>
    <t>Simmer corregido (PSI)</t>
  </si>
  <si>
    <t>Kex</t>
  </si>
  <si>
    <t>Datos</t>
  </si>
  <si>
    <t>Presión de escape</t>
  </si>
  <si>
    <t>NOTA: Insertar esta grafica en la hoja "CALIBRACIÓN PSV"</t>
  </si>
  <si>
    <t>Variación medidas</t>
  </si>
  <si>
    <t>Tamaño alto = 5,7</t>
  </si>
  <si>
    <t>Promedio</t>
  </si>
  <si>
    <t>Manómetro</t>
  </si>
  <si>
    <t>u_Presión apertura</t>
  </si>
  <si>
    <t>Grados de libertad</t>
  </si>
  <si>
    <r>
      <t>Factor de cobertura (</t>
    </r>
    <r>
      <rPr>
        <b/>
        <i/>
        <sz val="11"/>
        <color theme="1"/>
        <rFont val="Calibri"/>
        <family val="2"/>
        <scheme val="minor"/>
      </rPr>
      <t>k</t>
    </r>
    <r>
      <rPr>
        <b/>
        <sz val="11"/>
        <color theme="1"/>
        <rFont val="Calibri"/>
        <family val="2"/>
        <scheme val="minor"/>
      </rPr>
      <t>)</t>
    </r>
  </si>
  <si>
    <t>U_Expandida</t>
  </si>
  <si>
    <t>Manómetro Crystal 0-5000 psi</t>
  </si>
  <si>
    <t>Manómetro Additel 0-3000 psi</t>
  </si>
  <si>
    <t>Manómetro Crystal 0-1000 psi</t>
  </si>
  <si>
    <t>Datos medidos</t>
  </si>
  <si>
    <t>Condiciones ambientales</t>
  </si>
  <si>
    <t>N</t>
  </si>
  <si>
    <t>Pm (psi)</t>
  </si>
  <si>
    <t>Humedad (%HR)</t>
  </si>
  <si>
    <t>Incertidumbre por operario (psi)</t>
  </si>
  <si>
    <t>Jonathan Garzón</t>
  </si>
  <si>
    <t>Datos ecuación 1</t>
  </si>
  <si>
    <t>Resolución (psi)</t>
  </si>
  <si>
    <t>Deriva (psi)</t>
  </si>
  <si>
    <t>Interpolación (psi)</t>
  </si>
  <si>
    <t>Lectura (psi)</t>
  </si>
  <si>
    <t>Certificado (psi)</t>
  </si>
  <si>
    <t>Factor de cobertura</t>
  </si>
  <si>
    <t>Desviación</t>
  </si>
  <si>
    <t>Alexander Castro</t>
  </si>
  <si>
    <t>Magnitud</t>
  </si>
  <si>
    <t>u resolución (psi)</t>
  </si>
  <si>
    <t>u deriva (psi)</t>
  </si>
  <si>
    <t>u Interpolación (psi)</t>
  </si>
  <si>
    <t>u Lectura (psi)</t>
  </si>
  <si>
    <t>u certificado (psi)</t>
  </si>
  <si>
    <t>u combinada (psi)</t>
  </si>
  <si>
    <t>Carlos Suarez</t>
  </si>
  <si>
    <t>Incertidumbre (psi)</t>
  </si>
  <si>
    <t>Brayan García</t>
  </si>
  <si>
    <t>U_Presión manómetro (Pm) (psi)</t>
  </si>
  <si>
    <t>Coeficiente de sensibilidad</t>
  </si>
  <si>
    <t>Heliodoro Prada</t>
  </si>
  <si>
    <t>Datos ecuación 2</t>
  </si>
  <si>
    <t>Resolución (m)</t>
  </si>
  <si>
    <t>Deriva (m)</t>
  </si>
  <si>
    <t>Suma de residuos - Interpolación (m)</t>
  </si>
  <si>
    <t>Certificado (m)</t>
  </si>
  <si>
    <t>Factor de cobertura (k)</t>
  </si>
  <si>
    <t>Flexómetro</t>
  </si>
  <si>
    <t>Para la densidad del aire</t>
  </si>
  <si>
    <t>Constantes</t>
  </si>
  <si>
    <t>Variables</t>
  </si>
  <si>
    <t>Densidad N2 (kg/m3)</t>
  </si>
  <si>
    <t>Humedad</t>
  </si>
  <si>
    <t>Densidad aire (kg/m3)</t>
  </si>
  <si>
    <t>Temperatura</t>
  </si>
  <si>
    <t>Gravedad (m/s^2)</t>
  </si>
  <si>
    <t>Presión</t>
  </si>
  <si>
    <t>Altura (m)</t>
  </si>
  <si>
    <t>u resolución</t>
  </si>
  <si>
    <t>u deriva</t>
  </si>
  <si>
    <t>u Interpolación</t>
  </si>
  <si>
    <t>u certificado</t>
  </si>
  <si>
    <t>u combinada</t>
  </si>
  <si>
    <t>Coeficientes de sensibilidad</t>
  </si>
  <si>
    <t>u_P alturas (Pa)</t>
  </si>
  <si>
    <t>u_P alturas (psi)</t>
  </si>
  <si>
    <t>Datos ecuación 2.A</t>
  </si>
  <si>
    <t>Resolución</t>
  </si>
  <si>
    <t>Deriva</t>
  </si>
  <si>
    <t>Interpolación</t>
  </si>
  <si>
    <t>Certificado</t>
  </si>
  <si>
    <t>Termohigrometro (Presión)</t>
  </si>
  <si>
    <t>Termohigrometro (Humedad)</t>
  </si>
  <si>
    <t>Termohigrometro (Temperatura)</t>
  </si>
  <si>
    <t>Presión (hPa)</t>
  </si>
  <si>
    <t>Humedad (%hr)</t>
  </si>
  <si>
    <t>u_Densidad aire</t>
  </si>
  <si>
    <t xml:space="preserve">INFORME DE CALIBRACIÓN DE VÁLVULA DE 
SEGURIDAD EN BANCO DE PRUEBAS </t>
  </si>
  <si>
    <t>CODIGO</t>
  </si>
  <si>
    <t>OHSQ-FO-43</t>
  </si>
  <si>
    <t>VERSION</t>
  </si>
  <si>
    <t>CONTROL DE CAMBIOS</t>
  </si>
  <si>
    <t>DESCRIPCIÓN</t>
  </si>
  <si>
    <t>AUTOR</t>
  </si>
  <si>
    <t>Creación del documento</t>
  </si>
  <si>
    <t>Andres Felipe Ovalle Ortiz
Asesor Comercial</t>
  </si>
  <si>
    <t>Modificiacion por nuevo formato, cambio estructura</t>
  </si>
  <si>
    <t>Camilo Andres Fajardo Hoyos
Asesor Comercial</t>
  </si>
  <si>
    <t>Cambio de titulo documento</t>
  </si>
  <si>
    <t>Modificación del formato para cumplir la norma 17025, adición del cálculo de la incertidumbre</t>
  </si>
  <si>
    <t>Se agregan todas las incertidumbres</t>
  </si>
  <si>
    <t>Actualización del certificado, se agregan campos con mínimos y máximos de temperatura, se modifica todo el presupuesto de incertidumbre con el nuevo planteado y se agrega el nuevo manómetro utilizado.</t>
  </si>
  <si>
    <t>Actualización del documento, se complementa el método utilizado, se complementa el lugar de prueba, se realiza ajuste de redacción de la especificación y se modifica la redacción de los participantes en la calibración</t>
  </si>
  <si>
    <t xml:space="preserve">Actualización del documento con cambios de forma e incluyendo los descargos de responsabilidad </t>
  </si>
  <si>
    <t>CONTROL DE REVISIONES</t>
  </si>
  <si>
    <t>ELABORADO POR</t>
  </si>
  <si>
    <t>REVISADO POR</t>
  </si>
  <si>
    <t>APROBADO POR</t>
  </si>
  <si>
    <t>Nombre:</t>
  </si>
  <si>
    <t>Andres Felipe Ovalle Ortiz</t>
  </si>
  <si>
    <t>Camilo Andrés Fajardo</t>
  </si>
  <si>
    <t>Carlos Alberto Suarez Franco</t>
  </si>
  <si>
    <t>Cargo:</t>
  </si>
  <si>
    <t>Asesor Comercial</t>
  </si>
  <si>
    <t>Gerente General</t>
  </si>
  <si>
    <t>Fecha:</t>
  </si>
  <si>
    <t>09</t>
  </si>
  <si>
    <t>Andres Felipe Ovalle Ortiz
Líder de laboratorio</t>
  </si>
  <si>
    <t>Se actualiza el logo, para cambiarlo junto con el simbolo de acreditado ONAC</t>
  </si>
  <si>
    <t>U seleccionada</t>
  </si>
  <si>
    <t>WIKA</t>
  </si>
  <si>
    <t>CPG1500</t>
  </si>
  <si>
    <t>1A047Q87N2E</t>
  </si>
  <si>
    <t>Manómetro Wika</t>
  </si>
  <si>
    <t>Manómetro Wika 0-1000 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</si>
</sst>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yyyy\-mm\-dd;@"/>
    <numFmt numFmtId="165" formatCode="0.000"/>
    <numFmt numFmtId="166" formatCode="0.0"/>
    <numFmt numFmtId="167" formatCode="0.000000000"/>
    <numFmt numFmtId="168" formatCode="0.000000"/>
    <numFmt numFmtId="169" formatCode="0.00000000"/>
    <numFmt numFmtId="170" formatCode="0#"/>
    <numFmt numFmtId="171" formatCode="0.0%"/>
    <numFmt numFmtId="172" formatCode="#,##0.0"/>
  </numFmts>
  <fonts count="42" x14ac:knownFonts="1">
    <font>
      <sz val="11"/>
      <color theme="1"/>
      <name val="Calibri"/>
      <family val="2"/>
      <scheme val="minor"/>
    </font>
    <font>
      <sz val="10"/>
      <color theme="1"/>
      <name val="Arial Rounded MT Bold"/>
      <family val="2"/>
    </font>
    <font>
      <sz val="11"/>
      <color theme="1"/>
      <name val="Calibri"/>
      <family val="2"/>
      <scheme val="minor"/>
    </font>
    <font>
      <b/>
      <sz val="12"/>
      <color theme="1"/>
      <name val="Prompt"/>
    </font>
    <font>
      <b/>
      <sz val="9"/>
      <color theme="1"/>
      <name val="Prompt"/>
    </font>
    <font>
      <sz val="9"/>
      <color theme="1"/>
      <name val="Arial Rounded MT Bold"/>
      <family val="2"/>
    </font>
    <font>
      <sz val="9"/>
      <name val="Arial Rounded MT Bold"/>
      <family val="2"/>
    </font>
    <font>
      <b/>
      <sz val="12"/>
      <color rgb="FF0D780C"/>
      <name val="Prompt"/>
    </font>
    <font>
      <sz val="12"/>
      <color rgb="FF0D780C"/>
      <name val="Prompt"/>
    </font>
    <font>
      <b/>
      <sz val="9"/>
      <color rgb="FFFFFFFF"/>
      <name val="Prompt"/>
    </font>
    <font>
      <b/>
      <sz val="10"/>
      <color rgb="FFFFFFFF"/>
      <name val="Prompt"/>
    </font>
    <font>
      <b/>
      <sz val="9"/>
      <color rgb="FF0D780C"/>
      <name val="Prompt"/>
    </font>
    <font>
      <sz val="10"/>
      <color theme="1"/>
      <name val="Times New Roman"/>
      <family val="1"/>
    </font>
    <font>
      <i/>
      <sz val="11"/>
      <color theme="1"/>
      <name val="Calibri"/>
      <family val="2"/>
      <scheme val="minor"/>
    </font>
    <font>
      <b/>
      <sz val="11"/>
      <color theme="1"/>
      <name val="Calibri"/>
      <family val="2"/>
      <scheme val="minor"/>
    </font>
    <font>
      <b/>
      <sz val="12"/>
      <name val="Arial"/>
      <family val="2"/>
    </font>
    <font>
      <sz val="10"/>
      <color theme="1"/>
      <name val="Calibri"/>
      <family val="2"/>
      <scheme val="minor"/>
    </font>
    <font>
      <b/>
      <sz val="10"/>
      <name val="Arial"/>
      <family val="2"/>
    </font>
    <font>
      <sz val="10"/>
      <name val="Arial"/>
      <family val="2"/>
    </font>
    <font>
      <sz val="11"/>
      <color rgb="FF002060"/>
      <name val="Calibri"/>
      <family val="2"/>
      <scheme val="minor"/>
    </font>
    <font>
      <b/>
      <sz val="10"/>
      <name val="Calibri"/>
      <family val="2"/>
      <scheme val="minor"/>
    </font>
    <font>
      <sz val="10"/>
      <name val="Calibri"/>
      <family val="2"/>
      <scheme val="minor"/>
    </font>
    <font>
      <sz val="9"/>
      <name val="Calibri"/>
      <family val="2"/>
      <scheme val="minor"/>
    </font>
    <font>
      <sz val="11"/>
      <name val="Calibri"/>
      <family val="2"/>
      <scheme val="minor"/>
    </font>
    <font>
      <b/>
      <sz val="11"/>
      <color rgb="FF002060"/>
      <name val="Calibri"/>
      <family val="2"/>
      <scheme val="minor"/>
    </font>
    <font>
      <sz val="9"/>
      <color rgb="FF002060"/>
      <name val="Calibri"/>
      <family val="2"/>
      <scheme val="minor"/>
    </font>
    <font>
      <b/>
      <sz val="11"/>
      <name val="Calibri"/>
      <family val="2"/>
      <scheme val="minor"/>
    </font>
    <font>
      <b/>
      <sz val="10"/>
      <color theme="0"/>
      <name val="Calibri"/>
      <family val="2"/>
      <scheme val="minor"/>
    </font>
    <font>
      <b/>
      <sz val="10"/>
      <color rgb="FFFF0000"/>
      <name val="Calibri"/>
      <family val="2"/>
      <scheme val="minor"/>
    </font>
    <font>
      <sz val="9"/>
      <name val="Arial"/>
      <family val="2"/>
    </font>
    <font>
      <b/>
      <sz val="12"/>
      <name val="Arial Rounded MT Bold"/>
      <family val="2"/>
    </font>
    <font>
      <b/>
      <sz val="10"/>
      <color theme="1"/>
      <name val="Calibri"/>
      <family val="2"/>
      <scheme val="minor"/>
    </font>
    <font>
      <sz val="10"/>
      <color rgb="FF002060"/>
      <name val="Calibri"/>
      <family val="2"/>
      <scheme val="minor"/>
    </font>
    <font>
      <i/>
      <sz val="10"/>
      <name val="Calibri"/>
      <family val="2"/>
      <scheme val="minor"/>
    </font>
    <font>
      <b/>
      <i/>
      <sz val="11"/>
      <color theme="1"/>
      <name val="Calibri"/>
      <family val="2"/>
      <scheme val="minor"/>
    </font>
    <font>
      <b/>
      <sz val="9"/>
      <color indexed="81"/>
      <name val="Tahoma"/>
      <family val="2"/>
    </font>
    <font>
      <sz val="9"/>
      <color indexed="81"/>
      <name val="Tahoma"/>
      <family val="2"/>
    </font>
    <font>
      <sz val="11"/>
      <color rgb="FFFF0000"/>
      <name val="Calibri"/>
      <family val="2"/>
      <scheme val="minor"/>
    </font>
    <font>
      <u/>
      <sz val="11"/>
      <color rgb="FF0070C0"/>
      <name val="Calibri"/>
      <family val="2"/>
      <scheme val="minor"/>
    </font>
    <font>
      <sz val="8"/>
      <name val="Calibri"/>
      <family val="2"/>
      <scheme val="minor"/>
    </font>
    <font>
      <b/>
      <sz val="12"/>
      <color rgb="FFFF0000"/>
      <name val="Calibri"/>
      <family val="2"/>
      <scheme val="minor"/>
    </font>
    <font>
      <sz val="7"/>
      <color theme="1"/>
      <name val="Arial Rounded MT Bold"/>
      <family val="2"/>
    </font>
  </fonts>
  <fills count="9">
    <fill>
      <patternFill patternType="none"/>
    </fill>
    <fill>
      <patternFill patternType="gray125"/>
    </fill>
    <fill>
      <patternFill patternType="solid">
        <fgColor indexed="9"/>
        <bgColor indexed="64"/>
      </patternFill>
    </fill>
    <fill>
      <patternFill patternType="solid">
        <fgColor rgb="FF0D6F0C"/>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59999389629810485"/>
        <bgColor indexed="64"/>
      </patternFill>
    </fill>
  </fills>
  <borders count="6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rgb="FF0D780C"/>
      </left>
      <right style="medium">
        <color rgb="FFFFFFFF"/>
      </right>
      <top style="thick">
        <color rgb="FF0D780C"/>
      </top>
      <bottom style="thick">
        <color rgb="FF0D780C"/>
      </bottom>
      <diagonal/>
    </border>
    <border>
      <left/>
      <right style="medium">
        <color rgb="FFFFFFFF"/>
      </right>
      <top style="thick">
        <color rgb="FF0D780C"/>
      </top>
      <bottom style="thick">
        <color rgb="FF0D780C"/>
      </bottom>
      <diagonal/>
    </border>
    <border>
      <left style="medium">
        <color rgb="FFFFFFFF"/>
      </left>
      <right/>
      <top/>
      <bottom/>
      <diagonal/>
    </border>
    <border>
      <left style="thick">
        <color rgb="FF0D780C"/>
      </left>
      <right style="medium">
        <color rgb="FF0D780C"/>
      </right>
      <top/>
      <bottom style="medium">
        <color rgb="FF0D780C"/>
      </bottom>
      <diagonal/>
    </border>
    <border>
      <left/>
      <right/>
      <top/>
      <bottom style="medium">
        <color rgb="FF0D780C"/>
      </bottom>
      <diagonal/>
    </border>
    <border>
      <left style="medium">
        <color rgb="FF0D6F0C"/>
      </left>
      <right style="thin">
        <color indexed="64"/>
      </right>
      <top style="medium">
        <color rgb="FF0D6F0C"/>
      </top>
      <bottom style="medium">
        <color rgb="FF0D6F0C"/>
      </bottom>
      <diagonal/>
    </border>
    <border>
      <left style="thin">
        <color indexed="64"/>
      </left>
      <right style="thin">
        <color indexed="64"/>
      </right>
      <top style="medium">
        <color rgb="FF0D6F0C"/>
      </top>
      <bottom style="medium">
        <color rgb="FF0D6F0C"/>
      </bottom>
      <diagonal/>
    </border>
    <border>
      <left style="thin">
        <color indexed="64"/>
      </left>
      <right style="medium">
        <color rgb="FF0D6F0C"/>
      </right>
      <top style="medium">
        <color rgb="FF0D6F0C"/>
      </top>
      <bottom style="medium">
        <color rgb="FF0D6F0C"/>
      </bottom>
      <diagonal/>
    </border>
    <border>
      <left style="thick">
        <color rgb="FF0D780C"/>
      </left>
      <right/>
      <top/>
      <bottom/>
      <diagonal/>
    </border>
    <border>
      <left style="thick">
        <color rgb="FF0D780C"/>
      </left>
      <right/>
      <top style="thick">
        <color rgb="FF0D780C"/>
      </top>
      <bottom style="thick">
        <color rgb="FF0D780C"/>
      </bottom>
      <diagonal/>
    </border>
    <border>
      <left/>
      <right style="medium">
        <color rgb="FF0D780C"/>
      </right>
      <top style="thick">
        <color rgb="FF0D780C"/>
      </top>
      <bottom style="thick">
        <color rgb="FF0D780C"/>
      </bottom>
      <diagonal/>
    </border>
    <border>
      <left style="medium">
        <color rgb="FF0D780C"/>
      </left>
      <right/>
      <top style="thick">
        <color rgb="FF0D780C"/>
      </top>
      <bottom style="thick">
        <color rgb="FF0D780C"/>
      </bottom>
      <diagonal/>
    </border>
    <border>
      <left/>
      <right/>
      <top style="thick">
        <color rgb="FF0D780C"/>
      </top>
      <bottom style="thick">
        <color rgb="FF0D780C"/>
      </bottom>
      <diagonal/>
    </border>
    <border>
      <left style="medium">
        <color rgb="FF0D6F0C"/>
      </left>
      <right style="thin">
        <color indexed="64"/>
      </right>
      <top/>
      <bottom style="medium">
        <color rgb="FF0D6F0C"/>
      </bottom>
      <diagonal/>
    </border>
    <border>
      <left style="thin">
        <color indexed="64"/>
      </left>
      <right style="thin">
        <color indexed="64"/>
      </right>
      <top/>
      <bottom style="medium">
        <color rgb="FF0D6F0C"/>
      </bottom>
      <diagonal/>
    </border>
    <border>
      <left style="thin">
        <color indexed="64"/>
      </left>
      <right style="medium">
        <color rgb="FF0D6F0C"/>
      </right>
      <top/>
      <bottom style="medium">
        <color rgb="FF0D6F0C"/>
      </bottom>
      <diagonal/>
    </border>
    <border>
      <left/>
      <right style="medium">
        <color rgb="FF0D780C"/>
      </right>
      <top/>
      <bottom style="medium">
        <color rgb="FF0D780C"/>
      </bottom>
      <diagonal/>
    </border>
    <border>
      <left style="thick">
        <color rgb="FF0D780C"/>
      </left>
      <right style="medium">
        <color rgb="FF0D780C"/>
      </right>
      <top/>
      <bottom style="thick">
        <color rgb="FF0D780C"/>
      </bottom>
      <diagonal/>
    </border>
    <border>
      <left/>
      <right style="medium">
        <color rgb="FF0D780C"/>
      </right>
      <top/>
      <bottom style="thick">
        <color rgb="FF0D780C"/>
      </bottom>
      <diagonal/>
    </border>
    <border>
      <left/>
      <right/>
      <top/>
      <bottom style="thick">
        <color rgb="FF0D780C"/>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D6F0C"/>
      </left>
      <right/>
      <top style="medium">
        <color rgb="FF0D6F0C"/>
      </top>
      <bottom style="medium">
        <color rgb="FF0D6F0C"/>
      </bottom>
      <diagonal/>
    </border>
    <border>
      <left/>
      <right style="medium">
        <color rgb="FF0D6F0C"/>
      </right>
      <top style="medium">
        <color rgb="FF0D6F0C"/>
      </top>
      <bottom style="medium">
        <color rgb="FF0D6F0C"/>
      </bottom>
      <diagonal/>
    </border>
    <border>
      <left/>
      <right/>
      <top style="medium">
        <color rgb="FF0D6F0C"/>
      </top>
      <bottom style="medium">
        <color rgb="FF0D6F0C"/>
      </bottom>
      <diagonal/>
    </border>
    <border>
      <left style="medium">
        <color indexed="64"/>
      </left>
      <right/>
      <top style="thin">
        <color indexed="64"/>
      </top>
      <bottom style="medium">
        <color indexed="64"/>
      </bottom>
      <diagonal/>
    </border>
  </borders>
  <cellStyleXfs count="3">
    <xf numFmtId="0" fontId="0" fillId="0" borderId="0"/>
    <xf numFmtId="0" fontId="2" fillId="0" borderId="0"/>
    <xf numFmtId="9" fontId="2" fillId="0" borderId="0" applyFont="0" applyFill="0" applyBorder="0" applyAlignment="0" applyProtection="0"/>
  </cellStyleXfs>
  <cellXfs count="353">
    <xf numFmtId="0" fontId="0" fillId="0" borderId="0" xfId="0"/>
    <xf numFmtId="0" fontId="2" fillId="0" borderId="0" xfId="1"/>
    <xf numFmtId="0" fontId="4" fillId="0" borderId="11" xfId="1" applyFont="1" applyBorder="1" applyAlignment="1">
      <alignment horizontal="center" vertical="center" wrapText="1"/>
    </xf>
    <xf numFmtId="0" fontId="5" fillId="0" borderId="11" xfId="1" applyFont="1" applyBorder="1" applyAlignment="1">
      <alignment horizontal="center" vertical="center" wrapText="1"/>
    </xf>
    <xf numFmtId="49" fontId="5" fillId="0" borderId="11" xfId="1" applyNumberFormat="1" applyFont="1" applyBorder="1" applyAlignment="1">
      <alignment horizontal="center" vertical="center" wrapText="1"/>
    </xf>
    <xf numFmtId="0" fontId="4" fillId="0" borderId="11" xfId="1" applyFont="1" applyBorder="1" applyAlignment="1">
      <alignment horizontal="center" vertical="center"/>
    </xf>
    <xf numFmtId="164" fontId="6" fillId="2" borderId="11" xfId="1" applyNumberFormat="1" applyFont="1" applyFill="1" applyBorder="1" applyAlignment="1">
      <alignment horizontal="center" vertical="center" wrapText="1"/>
    </xf>
    <xf numFmtId="0" fontId="7" fillId="0" borderId="0" xfId="1" applyFont="1" applyAlignment="1">
      <alignment horizontal="center" vertical="center"/>
    </xf>
    <xf numFmtId="0" fontId="8" fillId="0" borderId="0" xfId="1" applyFont="1" applyAlignment="1">
      <alignment horizontal="center" vertical="center"/>
    </xf>
    <xf numFmtId="0" fontId="9" fillId="3" borderId="18" xfId="1" applyFont="1" applyFill="1" applyBorder="1" applyAlignment="1">
      <alignment horizontal="center" vertical="center" wrapText="1"/>
    </xf>
    <xf numFmtId="0" fontId="9" fillId="3" borderId="19" xfId="1" applyFont="1" applyFill="1" applyBorder="1" applyAlignment="1">
      <alignment horizontal="center" vertical="center" wrapText="1"/>
    </xf>
    <xf numFmtId="164" fontId="1" fillId="0" borderId="21" xfId="1" applyNumberFormat="1" applyFont="1" applyBorder="1" applyAlignment="1">
      <alignment horizontal="center" vertical="center" wrapText="1"/>
    </xf>
    <xf numFmtId="0" fontId="1" fillId="0" borderId="0" xfId="1" applyFont="1" applyAlignment="1">
      <alignment horizontal="right" vertical="center"/>
    </xf>
    <xf numFmtId="0" fontId="13" fillId="0" borderId="0" xfId="1" applyFont="1"/>
    <xf numFmtId="0" fontId="0" fillId="0" borderId="0" xfId="0" applyAlignment="1">
      <alignment vertical="center"/>
    </xf>
    <xf numFmtId="0" fontId="0" fillId="0" borderId="0" xfId="0" applyAlignment="1">
      <alignment horizontal="center" vertical="center"/>
    </xf>
    <xf numFmtId="0" fontId="0" fillId="0" borderId="11" xfId="0" applyBorder="1" applyAlignment="1">
      <alignment horizontal="center"/>
    </xf>
    <xf numFmtId="0" fontId="0" fillId="0" borderId="0" xfId="0" applyAlignment="1">
      <alignment horizontal="center"/>
    </xf>
    <xf numFmtId="0" fontId="14" fillId="0" borderId="11" xfId="0" applyFont="1" applyBorder="1" applyAlignment="1">
      <alignment horizontal="center" vertical="center"/>
    </xf>
    <xf numFmtId="2" fontId="0" fillId="0" borderId="11" xfId="0" applyNumberFormat="1" applyBorder="1" applyAlignment="1">
      <alignment horizontal="center"/>
    </xf>
    <xf numFmtId="0" fontId="0" fillId="0" borderId="11" xfId="0" applyBorder="1" applyAlignment="1">
      <alignment horizontal="center" vertical="center"/>
    </xf>
    <xf numFmtId="0" fontId="0" fillId="5" borderId="11" xfId="0" applyFill="1" applyBorder="1" applyAlignment="1">
      <alignment horizontal="center" vertical="center"/>
    </xf>
    <xf numFmtId="0" fontId="0" fillId="0" borderId="11" xfId="0" applyBorder="1" applyAlignment="1">
      <alignment horizontal="center" vertical="center" wrapText="1"/>
    </xf>
    <xf numFmtId="2" fontId="0" fillId="0" borderId="0" xfId="0" applyNumberFormat="1" applyAlignment="1">
      <alignment horizontal="center" vertical="center"/>
    </xf>
    <xf numFmtId="0" fontId="0" fillId="7" borderId="11" xfId="0" applyFill="1" applyBorder="1" applyAlignment="1">
      <alignment horizontal="center"/>
    </xf>
    <xf numFmtId="0" fontId="0" fillId="7" borderId="11" xfId="0" applyFill="1" applyBorder="1" applyAlignment="1">
      <alignment horizontal="center" vertical="center"/>
    </xf>
    <xf numFmtId="0" fontId="0" fillId="7" borderId="11" xfId="0" applyFill="1" applyBorder="1" applyAlignment="1">
      <alignment horizontal="center" vertical="center" wrapText="1"/>
    </xf>
    <xf numFmtId="0" fontId="0" fillId="0" borderId="0" xfId="0" applyAlignment="1">
      <alignment vertical="center" wrapText="1"/>
    </xf>
    <xf numFmtId="0" fontId="0" fillId="0" borderId="11" xfId="0" quotePrefix="1" applyBorder="1" applyAlignment="1">
      <alignment horizontal="center" vertical="center"/>
    </xf>
    <xf numFmtId="2" fontId="0" fillId="0" borderId="0" xfId="0" applyNumberFormat="1" applyAlignment="1">
      <alignment horizontal="center"/>
    </xf>
    <xf numFmtId="0" fontId="14" fillId="0" borderId="0" xfId="0" applyFont="1" applyAlignment="1">
      <alignment horizontal="center" vertical="center"/>
    </xf>
    <xf numFmtId="0" fontId="14" fillId="0" borderId="0" xfId="0" applyFont="1" applyAlignment="1">
      <alignment horizontal="center" vertical="center" wrapText="1"/>
    </xf>
    <xf numFmtId="0" fontId="0" fillId="0" borderId="43" xfId="0" applyBorder="1" applyAlignment="1">
      <alignment horizontal="center" vertical="center"/>
    </xf>
    <xf numFmtId="0" fontId="14" fillId="0" borderId="44" xfId="0" applyFont="1" applyBorder="1" applyAlignment="1">
      <alignment horizontal="center" vertical="center"/>
    </xf>
    <xf numFmtId="0" fontId="0" fillId="0" borderId="44" xfId="0" applyBorder="1" applyAlignment="1">
      <alignment horizontal="center" vertical="center"/>
    </xf>
    <xf numFmtId="0" fontId="0" fillId="0" borderId="47" xfId="0" applyBorder="1" applyAlignment="1">
      <alignment horizontal="center" vertical="center"/>
    </xf>
    <xf numFmtId="0" fontId="14" fillId="0" borderId="11"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14" fillId="0" borderId="40" xfId="0" applyFont="1" applyBorder="1" applyAlignment="1">
      <alignment horizontal="center" vertical="center" wrapText="1"/>
    </xf>
    <xf numFmtId="0" fontId="14" fillId="0" borderId="42" xfId="0" applyFont="1" applyBorder="1" applyAlignment="1">
      <alignment horizontal="center" vertical="center" wrapText="1"/>
    </xf>
    <xf numFmtId="0" fontId="14" fillId="0" borderId="44" xfId="0" applyFont="1" applyBorder="1" applyAlignment="1">
      <alignment horizontal="center" vertical="center" wrapText="1"/>
    </xf>
    <xf numFmtId="167" fontId="0" fillId="0" borderId="11" xfId="0" applyNumberFormat="1" applyBorder="1" applyAlignment="1">
      <alignment horizontal="center" vertical="center"/>
    </xf>
    <xf numFmtId="0" fontId="0" fillId="0" borderId="45" xfId="0" applyBorder="1" applyAlignment="1">
      <alignment horizontal="center" vertical="center"/>
    </xf>
    <xf numFmtId="0" fontId="14" fillId="0" borderId="43" xfId="0" applyFont="1" applyBorder="1" applyAlignment="1">
      <alignment horizontal="center" vertical="center"/>
    </xf>
    <xf numFmtId="0" fontId="14" fillId="0" borderId="43" xfId="0" applyFont="1" applyBorder="1" applyAlignment="1">
      <alignment horizontal="center" vertical="center" wrapText="1"/>
    </xf>
    <xf numFmtId="166" fontId="0" fillId="4" borderId="11" xfId="0" applyNumberFormat="1" applyFill="1" applyBorder="1" applyAlignment="1">
      <alignment horizontal="center" vertical="center"/>
    </xf>
    <xf numFmtId="168" fontId="0" fillId="0" borderId="0" xfId="0" applyNumberFormat="1" applyAlignment="1">
      <alignment horizontal="center" vertical="center"/>
    </xf>
    <xf numFmtId="166" fontId="0" fillId="6" borderId="11" xfId="0" applyNumberFormat="1" applyFill="1" applyBorder="1" applyAlignment="1">
      <alignment horizontal="center" vertical="center"/>
    </xf>
    <xf numFmtId="166" fontId="0" fillId="0" borderId="11" xfId="0" applyNumberFormat="1" applyBorder="1" applyAlignment="1">
      <alignment horizontal="center" vertical="center"/>
    </xf>
    <xf numFmtId="0" fontId="37" fillId="0" borderId="0" xfId="0" applyFont="1" applyAlignment="1">
      <alignment horizontal="center" vertical="center"/>
    </xf>
    <xf numFmtId="165" fontId="0" fillId="0" borderId="0" xfId="0" applyNumberFormat="1" applyAlignment="1">
      <alignment horizontal="center" vertical="center"/>
    </xf>
    <xf numFmtId="0" fontId="0" fillId="0" borderId="8" xfId="0" applyBorder="1"/>
    <xf numFmtId="0" fontId="0" fillId="0" borderId="44" xfId="0" applyBorder="1" applyAlignment="1">
      <alignment horizontal="center"/>
    </xf>
    <xf numFmtId="9" fontId="0" fillId="0" borderId="11" xfId="0" applyNumberFormat="1" applyBorder="1" applyAlignment="1">
      <alignment horizontal="center"/>
    </xf>
    <xf numFmtId="0" fontId="0" fillId="0" borderId="47" xfId="0" applyBorder="1" applyAlignment="1">
      <alignment horizontal="center"/>
    </xf>
    <xf numFmtId="0" fontId="0" fillId="0" borderId="57" xfId="0" applyBorder="1" applyAlignment="1">
      <alignment horizontal="center"/>
    </xf>
    <xf numFmtId="9" fontId="0" fillId="0" borderId="11" xfId="0" applyNumberFormat="1" applyBorder="1" applyAlignment="1">
      <alignment horizontal="center" vertical="center"/>
    </xf>
    <xf numFmtId="169" fontId="0" fillId="0" borderId="11" xfId="0" applyNumberFormat="1" applyBorder="1" applyAlignment="1">
      <alignment horizontal="center" vertical="center"/>
    </xf>
    <xf numFmtId="169" fontId="0" fillId="0" borderId="47" xfId="0" applyNumberFormat="1" applyBorder="1" applyAlignment="1">
      <alignment horizontal="center" vertical="center"/>
    </xf>
    <xf numFmtId="170" fontId="1" fillId="0" borderId="22" xfId="1" applyNumberFormat="1" applyFont="1" applyBorder="1" applyAlignment="1">
      <alignment horizontal="center" vertical="center" wrapText="1"/>
    </xf>
    <xf numFmtId="0" fontId="16" fillId="0" borderId="0" xfId="0" applyFont="1" applyAlignment="1">
      <alignment vertical="center"/>
    </xf>
    <xf numFmtId="0" fontId="18" fillId="0" borderId="47" xfId="0" quotePrefix="1" applyFont="1" applyBorder="1" applyAlignment="1">
      <alignment horizontal="center" vertical="center" wrapText="1"/>
    </xf>
    <xf numFmtId="0" fontId="20" fillId="0" borderId="0" xfId="0" applyFont="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2" xfId="0" applyFont="1" applyBorder="1" applyAlignment="1">
      <alignment horizontal="left" vertical="center" wrapText="1"/>
    </xf>
    <xf numFmtId="0" fontId="19" fillId="0" borderId="3" xfId="0" applyFont="1" applyBorder="1" applyAlignment="1">
      <alignment horizontal="center" vertical="center"/>
    </xf>
    <xf numFmtId="0" fontId="20" fillId="0" borderId="4" xfId="0" applyFont="1" applyBorder="1" applyAlignment="1">
      <alignment vertical="center"/>
    </xf>
    <xf numFmtId="0" fontId="20" fillId="0" borderId="0" xfId="0" applyFont="1" applyAlignment="1">
      <alignment horizontal="right" vertical="center"/>
    </xf>
    <xf numFmtId="0" fontId="21" fillId="0" borderId="9" xfId="0" applyFont="1" applyBorder="1" applyAlignment="1">
      <alignment horizontal="center" vertical="center"/>
    </xf>
    <xf numFmtId="0" fontId="21" fillId="0" borderId="0" xfId="0" applyFont="1" applyAlignment="1">
      <alignment horizontal="center" vertical="center"/>
    </xf>
    <xf numFmtId="0" fontId="23" fillId="0" borderId="5" xfId="0" applyFont="1" applyBorder="1" applyAlignment="1">
      <alignment vertical="center"/>
    </xf>
    <xf numFmtId="0" fontId="16" fillId="0" borderId="0" xfId="0" applyFont="1" applyAlignment="1">
      <alignment horizontal="center" vertical="center"/>
    </xf>
    <xf numFmtId="0" fontId="21" fillId="0" borderId="0" xfId="0" applyFont="1" applyAlignment="1">
      <alignment horizontal="right" vertical="center"/>
    </xf>
    <xf numFmtId="0" fontId="23" fillId="0" borderId="0" xfId="0" applyFont="1" applyAlignment="1">
      <alignment horizontal="right" vertical="center"/>
    </xf>
    <xf numFmtId="164" fontId="23" fillId="0" borderId="0" xfId="0" applyNumberFormat="1" applyFont="1" applyAlignment="1">
      <alignment horizontal="center" vertical="center"/>
    </xf>
    <xf numFmtId="0" fontId="16" fillId="0" borderId="11" xfId="0" applyFont="1" applyBorder="1" applyAlignment="1">
      <alignment horizontal="center" vertical="center"/>
    </xf>
    <xf numFmtId="164" fontId="23" fillId="0" borderId="15" xfId="0" applyNumberFormat="1" applyFont="1" applyBorder="1" applyAlignment="1">
      <alignment horizontal="center" vertical="center"/>
    </xf>
    <xf numFmtId="0" fontId="23" fillId="0" borderId="9" xfId="0" applyFont="1" applyBorder="1" applyAlignment="1">
      <alignment horizontal="center" vertical="center"/>
    </xf>
    <xf numFmtId="0" fontId="24" fillId="0" borderId="6" xfId="0" applyFont="1" applyBorder="1" applyAlignment="1">
      <alignment vertical="center"/>
    </xf>
    <xf numFmtId="0" fontId="24" fillId="0" borderId="7" xfId="0" applyFont="1" applyBorder="1" applyAlignment="1">
      <alignment vertical="center"/>
    </xf>
    <xf numFmtId="0" fontId="19" fillId="0" borderId="7" xfId="0" applyFont="1" applyBorder="1" applyAlignment="1">
      <alignment vertical="center"/>
    </xf>
    <xf numFmtId="14" fontId="25" fillId="0" borderId="7" xfId="0" applyNumberFormat="1" applyFont="1" applyBorder="1" applyAlignment="1">
      <alignment horizontal="center" vertical="center"/>
    </xf>
    <xf numFmtId="0" fontId="19" fillId="0" borderId="7" xfId="0" applyFont="1" applyBorder="1" applyAlignment="1">
      <alignment horizontal="left"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0" fillId="0" borderId="4" xfId="0" applyBorder="1" applyAlignment="1">
      <alignment vertical="center"/>
    </xf>
    <xf numFmtId="0" fontId="22" fillId="0" borderId="5" xfId="0" applyFont="1" applyBorder="1" applyAlignment="1">
      <alignment horizontal="center" vertical="center"/>
    </xf>
    <xf numFmtId="0" fontId="19" fillId="0" borderId="4" xfId="0" applyFont="1" applyBorder="1" applyAlignment="1">
      <alignment horizontal="center" vertical="center"/>
    </xf>
    <xf numFmtId="14" fontId="20" fillId="0" borderId="0" xfId="0" applyNumberFormat="1" applyFont="1" applyAlignment="1">
      <alignment horizontal="right" vertical="center"/>
    </xf>
    <xf numFmtId="0" fontId="21" fillId="0" borderId="9" xfId="0" quotePrefix="1"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wrapText="1"/>
    </xf>
    <xf numFmtId="0" fontId="22" fillId="0" borderId="9" xfId="0" applyFont="1" applyBorder="1" applyAlignment="1">
      <alignment horizontal="center" vertical="center"/>
    </xf>
    <xf numFmtId="0" fontId="23" fillId="0" borderId="0" xfId="0" applyFont="1" applyAlignment="1">
      <alignment horizontal="center" vertical="center"/>
    </xf>
    <xf numFmtId="0" fontId="22" fillId="0" borderId="5" xfId="0" applyFont="1" applyBorder="1" applyAlignment="1">
      <alignment vertical="center" wrapText="1"/>
    </xf>
    <xf numFmtId="0" fontId="23" fillId="0" borderId="4" xfId="0" applyFont="1" applyBorder="1" applyAlignment="1">
      <alignment horizontal="right" vertical="center"/>
    </xf>
    <xf numFmtId="0" fontId="23" fillId="0" borderId="0" xfId="0" applyFont="1" applyAlignment="1">
      <alignment horizontal="right" vertical="center" wrapText="1"/>
    </xf>
    <xf numFmtId="0" fontId="23" fillId="0" borderId="0" xfId="0" applyFont="1" applyAlignment="1">
      <alignment horizontal="left" vertical="center" wrapText="1"/>
    </xf>
    <xf numFmtId="0" fontId="23" fillId="0" borderId="5" xfId="0" applyFont="1" applyBorder="1" applyAlignment="1">
      <alignment horizontal="center" vertical="center"/>
    </xf>
    <xf numFmtId="0" fontId="26" fillId="0" borderId="0" xfId="0" applyFont="1" applyAlignment="1">
      <alignment horizontal="right" vertical="center"/>
    </xf>
    <xf numFmtId="0" fontId="22" fillId="0" borderId="0" xfId="0" applyFont="1" applyAlignment="1">
      <alignment horizontal="left" vertical="center" wrapText="1"/>
    </xf>
    <xf numFmtId="0" fontId="26" fillId="0" borderId="4" xfId="0" applyFont="1" applyBorder="1" applyAlignment="1">
      <alignment horizontal="left" vertical="center"/>
    </xf>
    <xf numFmtId="0" fontId="26" fillId="0" borderId="0" xfId="0" applyFont="1" applyAlignment="1">
      <alignment horizontal="left" vertical="center"/>
    </xf>
    <xf numFmtId="0" fontId="23" fillId="0" borderId="0" xfId="0" applyFont="1" applyAlignment="1">
      <alignment horizontal="left" vertical="center"/>
    </xf>
    <xf numFmtId="0" fontId="23" fillId="0" borderId="5" xfId="0" applyFont="1" applyBorder="1" applyAlignment="1">
      <alignment horizontal="left" vertical="center" wrapText="1"/>
    </xf>
    <xf numFmtId="0" fontId="26" fillId="0" borderId="11" xfId="0" applyFont="1" applyBorder="1" applyAlignment="1">
      <alignment horizontal="center" vertical="center"/>
    </xf>
    <xf numFmtId="0" fontId="21" fillId="0" borderId="11" xfId="0" applyFont="1" applyBorder="1" applyAlignment="1">
      <alignment horizontal="center" vertical="center"/>
    </xf>
    <xf numFmtId="0" fontId="22" fillId="0" borderId="11" xfId="0" applyFont="1" applyBorder="1" applyAlignment="1">
      <alignment horizontal="center" vertical="center"/>
    </xf>
    <xf numFmtId="14" fontId="21" fillId="0" borderId="11" xfId="0" applyNumberFormat="1" applyFont="1" applyBorder="1" applyAlignment="1">
      <alignment horizontal="center" vertical="center" wrapText="1"/>
    </xf>
    <xf numFmtId="0" fontId="21" fillId="0" borderId="11" xfId="0" quotePrefix="1" applyFont="1" applyBorder="1" applyAlignment="1">
      <alignment horizontal="center" vertical="center"/>
    </xf>
    <xf numFmtId="0" fontId="21" fillId="0" borderId="11" xfId="0" quotePrefix="1" applyFont="1" applyBorder="1" applyAlignment="1">
      <alignment horizontal="center" vertical="center" wrapText="1"/>
    </xf>
    <xf numFmtId="0" fontId="22" fillId="0" borderId="11" xfId="0" applyFont="1" applyBorder="1" applyAlignment="1">
      <alignment horizontal="center" vertical="center" wrapText="1"/>
    </xf>
    <xf numFmtId="0" fontId="25" fillId="0" borderId="0" xfId="0" applyFont="1" applyAlignment="1">
      <alignment horizontal="center" vertical="center"/>
    </xf>
    <xf numFmtId="0" fontId="22" fillId="0" borderId="0" xfId="0" applyFont="1" applyAlignment="1">
      <alignment horizontal="center" vertical="center"/>
    </xf>
    <xf numFmtId="14" fontId="22" fillId="0" borderId="0" xfId="0" applyNumberFormat="1" applyFont="1" applyAlignment="1">
      <alignment horizontal="center" vertical="center"/>
    </xf>
    <xf numFmtId="0" fontId="0" fillId="0" borderId="0" xfId="0" applyAlignment="1">
      <alignment horizontal="right" vertical="center"/>
    </xf>
    <xf numFmtId="0" fontId="19" fillId="0" borderId="6" xfId="0" applyFont="1" applyBorder="1" applyAlignment="1">
      <alignment horizontal="center" vertical="center"/>
    </xf>
    <xf numFmtId="0" fontId="19" fillId="0" borderId="7" xfId="0" applyFont="1" applyBorder="1" applyAlignment="1">
      <alignment horizontal="left" vertical="center" wrapText="1"/>
    </xf>
    <xf numFmtId="0" fontId="0" fillId="0" borderId="4" xfId="0" applyBorder="1"/>
    <xf numFmtId="0" fontId="31" fillId="0" borderId="0" xfId="0" applyFont="1" applyAlignment="1">
      <alignment horizontal="center" vertical="center"/>
    </xf>
    <xf numFmtId="0" fontId="0" fillId="0" borderId="5" xfId="0" applyBorder="1"/>
    <xf numFmtId="0" fontId="31" fillId="0" borderId="0" xfId="0" applyFont="1" applyAlignment="1">
      <alignment horizontal="right" vertical="center"/>
    </xf>
    <xf numFmtId="0" fontId="16" fillId="0" borderId="9" xfId="0" applyFont="1" applyBorder="1" applyAlignment="1">
      <alignment horizontal="center" vertical="center"/>
    </xf>
    <xf numFmtId="0" fontId="0" fillId="0" borderId="6" xfId="0" applyBorder="1"/>
    <xf numFmtId="0" fontId="0" fillId="0" borderId="7" xfId="0" applyBorder="1"/>
    <xf numFmtId="0" fontId="0" fillId="0" borderId="7" xfId="0" applyBorder="1" applyAlignment="1">
      <alignment horizontal="right"/>
    </xf>
    <xf numFmtId="0" fontId="23" fillId="0" borderId="7" xfId="0" applyFont="1" applyBorder="1" applyAlignment="1">
      <alignment vertical="center"/>
    </xf>
    <xf numFmtId="0" fontId="23" fillId="0" borderId="8" xfId="0" applyFont="1" applyBorder="1" applyAlignment="1">
      <alignment vertical="center"/>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27" fillId="0" borderId="2" xfId="0" applyFont="1" applyBorder="1" applyAlignment="1">
      <alignment vertical="center"/>
    </xf>
    <xf numFmtId="0" fontId="27" fillId="0" borderId="2" xfId="0" applyFont="1" applyBorder="1" applyAlignment="1">
      <alignment vertical="center" wrapText="1"/>
    </xf>
    <xf numFmtId="0" fontId="27" fillId="0" borderId="3" xfId="0" applyFont="1" applyBorder="1" applyAlignment="1">
      <alignment vertical="center" wrapText="1"/>
    </xf>
    <xf numFmtId="0" fontId="14" fillId="0" borderId="4" xfId="0" applyFont="1" applyBorder="1"/>
    <xf numFmtId="0" fontId="23" fillId="0" borderId="5" xfId="0" applyFont="1" applyBorder="1" applyAlignment="1">
      <alignment vertical="center" wrapText="1"/>
    </xf>
    <xf numFmtId="0" fontId="23" fillId="0" borderId="0" xfId="0" applyFont="1" applyAlignment="1">
      <alignment horizontal="center" vertical="center" wrapText="1"/>
    </xf>
    <xf numFmtId="9" fontId="21" fillId="0" borderId="11" xfId="0" quotePrefix="1" applyNumberFormat="1" applyFont="1" applyBorder="1" applyAlignment="1">
      <alignment horizontal="center" vertical="center"/>
    </xf>
    <xf numFmtId="9" fontId="21" fillId="0" borderId="0" xfId="0" quotePrefix="1" applyNumberFormat="1" applyFont="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32" fillId="0" borderId="0" xfId="0" applyFont="1" applyAlignment="1">
      <alignment horizontal="center" vertical="center"/>
    </xf>
    <xf numFmtId="0" fontId="32" fillId="0" borderId="0" xfId="0" applyFont="1" applyAlignment="1">
      <alignment horizontal="center" vertical="center" wrapText="1"/>
    </xf>
    <xf numFmtId="0" fontId="23" fillId="0" borderId="0" xfId="0" applyFont="1" applyAlignment="1">
      <alignment vertical="center"/>
    </xf>
    <xf numFmtId="0" fontId="23" fillId="0" borderId="4" xfId="0" applyFont="1" applyBorder="1" applyAlignment="1">
      <alignment horizontal="center" vertical="center"/>
    </xf>
    <xf numFmtId="0" fontId="23" fillId="0" borderId="9" xfId="0" applyFont="1" applyBorder="1" applyAlignment="1">
      <alignment horizontal="left" vertical="center" wrapText="1"/>
    </xf>
    <xf numFmtId="0" fontId="26" fillId="0" borderId="4" xfId="0" applyFont="1" applyBorder="1" applyAlignment="1">
      <alignment vertical="center"/>
    </xf>
    <xf numFmtId="0" fontId="26" fillId="0" borderId="0" xfId="0" applyFont="1" applyAlignment="1">
      <alignment vertical="center"/>
    </xf>
    <xf numFmtId="0" fontId="26" fillId="0" borderId="5" xfId="0" applyFont="1" applyBorder="1" applyAlignment="1">
      <alignment vertical="center"/>
    </xf>
    <xf numFmtId="0" fontId="23" fillId="0" borderId="7" xfId="0" applyFont="1" applyBorder="1" applyAlignment="1">
      <alignment horizontal="center" vertical="center"/>
    </xf>
    <xf numFmtId="0" fontId="0" fillId="0" borderId="0" xfId="0" applyAlignment="1">
      <alignment horizontal="left" vertical="center" wrapText="1"/>
    </xf>
    <xf numFmtId="0" fontId="28" fillId="0" borderId="0" xfId="0" applyFont="1" applyAlignment="1">
      <alignment horizontal="center" vertical="center"/>
    </xf>
    <xf numFmtId="0" fontId="0" fillId="0" borderId="0" xfId="0" applyAlignment="1">
      <alignment horizontal="left" vertical="center"/>
    </xf>
    <xf numFmtId="0" fontId="16" fillId="0" borderId="0" xfId="0" applyFont="1" applyAlignment="1">
      <alignment horizontal="left" vertical="center"/>
    </xf>
    <xf numFmtId="166" fontId="0" fillId="0" borderId="11" xfId="0" applyNumberFormat="1" applyBorder="1" applyAlignment="1">
      <alignment horizontal="center"/>
    </xf>
    <xf numFmtId="0" fontId="23" fillId="0" borderId="8" xfId="0" applyFont="1" applyBorder="1" applyAlignment="1">
      <alignment vertical="center" wrapText="1"/>
    </xf>
    <xf numFmtId="0" fontId="23" fillId="0" borderId="6" xfId="0" applyFont="1" applyBorder="1" applyAlignment="1">
      <alignment vertical="center"/>
    </xf>
    <xf numFmtId="164" fontId="21" fillId="0" borderId="11" xfId="0" applyNumberFormat="1" applyFont="1" applyBorder="1" applyAlignment="1">
      <alignment horizontal="center" vertical="center"/>
    </xf>
    <xf numFmtId="0" fontId="27" fillId="0" borderId="0" xfId="0" applyFont="1" applyAlignment="1">
      <alignment horizontal="center" vertical="center"/>
    </xf>
    <xf numFmtId="14" fontId="21" fillId="0" borderId="0" xfId="0" applyNumberFormat="1" applyFont="1" applyAlignment="1">
      <alignment horizontal="center" vertical="center"/>
    </xf>
    <xf numFmtId="11" fontId="21" fillId="0" borderId="0" xfId="0" applyNumberFormat="1" applyFont="1" applyAlignment="1">
      <alignment horizontal="center" vertical="center"/>
    </xf>
    <xf numFmtId="0" fontId="21" fillId="0" borderId="0" xfId="0" applyFont="1" applyAlignment="1">
      <alignment horizontal="center" vertical="center" wrapText="1"/>
    </xf>
    <xf numFmtId="0" fontId="20" fillId="0" borderId="0" xfId="0" applyFont="1" applyAlignment="1">
      <alignment horizontal="center" vertical="center" wrapText="1"/>
    </xf>
    <xf numFmtId="0" fontId="16" fillId="0" borderId="0" xfId="0" applyFont="1" applyAlignment="1">
      <alignment horizontal="center" vertical="center" wrapText="1"/>
    </xf>
    <xf numFmtId="0" fontId="33" fillId="0" borderId="11" xfId="0" applyFont="1" applyBorder="1" applyAlignment="1">
      <alignment horizontal="center" vertical="center"/>
    </xf>
    <xf numFmtId="2" fontId="21" fillId="0" borderId="11" xfId="0" applyNumberFormat="1" applyFont="1" applyBorder="1" applyAlignment="1">
      <alignment horizontal="center" vertical="center"/>
    </xf>
    <xf numFmtId="14" fontId="21" fillId="0" borderId="11" xfId="0" applyNumberFormat="1" applyFont="1" applyBorder="1" applyAlignment="1">
      <alignment horizontal="center" vertical="center"/>
    </xf>
    <xf numFmtId="171" fontId="0" fillId="0" borderId="11" xfId="2" applyNumberFormat="1" applyFont="1" applyBorder="1" applyAlignment="1">
      <alignment horizontal="center"/>
    </xf>
    <xf numFmtId="0" fontId="0" fillId="0" borderId="0" xfId="0" quotePrefix="1" applyAlignment="1">
      <alignment vertical="center" wrapText="1"/>
    </xf>
    <xf numFmtId="0" fontId="41" fillId="0" borderId="21" xfId="1" applyFont="1" applyBorder="1" applyAlignment="1">
      <alignment horizontal="center" vertical="center" wrapText="1"/>
    </xf>
    <xf numFmtId="0" fontId="41" fillId="0" borderId="34" xfId="1" applyFont="1" applyBorder="1" applyAlignment="1">
      <alignment horizontal="center" vertical="center" wrapText="1"/>
    </xf>
    <xf numFmtId="0" fontId="41" fillId="0" borderId="22" xfId="1" applyFont="1" applyBorder="1" applyAlignment="1">
      <alignment horizontal="center" vertical="center" wrapText="1"/>
    </xf>
    <xf numFmtId="0" fontId="41" fillId="0" borderId="35" xfId="1" applyFont="1" applyBorder="1" applyAlignment="1">
      <alignment horizontal="center" vertical="center" wrapText="1"/>
    </xf>
    <xf numFmtId="164" fontId="41" fillId="0" borderId="36" xfId="1" applyNumberFormat="1" applyFont="1" applyBorder="1" applyAlignment="1">
      <alignment horizontal="center" vertical="center" wrapText="1"/>
    </xf>
    <xf numFmtId="0" fontId="41" fillId="0" borderId="36" xfId="1" applyFont="1" applyBorder="1" applyAlignment="1">
      <alignment horizontal="center" vertical="center" wrapText="1"/>
    </xf>
    <xf numFmtId="0" fontId="41" fillId="0" borderId="37" xfId="1" applyFont="1" applyBorder="1" applyAlignment="1">
      <alignment horizontal="center" vertical="center" wrapText="1"/>
    </xf>
    <xf numFmtId="0" fontId="23" fillId="0" borderId="7" xfId="0" applyFont="1" applyBorder="1" applyAlignment="1">
      <alignment horizontal="center" vertical="center"/>
    </xf>
    <xf numFmtId="0" fontId="23" fillId="0" borderId="9" xfId="0" applyFont="1" applyBorder="1" applyAlignment="1">
      <alignment horizontal="center" vertical="center"/>
    </xf>
    <xf numFmtId="0" fontId="20" fillId="0" borderId="0" xfId="0" applyFont="1" applyAlignment="1">
      <alignment horizontal="right" vertical="center"/>
    </xf>
    <xf numFmtId="0" fontId="16" fillId="0" borderId="9" xfId="0" applyFont="1" applyBorder="1" applyAlignment="1">
      <alignment horizontal="center" vertical="center"/>
    </xf>
    <xf numFmtId="0" fontId="22" fillId="0" borderId="0" xfId="0" applyFont="1" applyAlignment="1">
      <alignment horizontal="left" vertical="center" wrapText="1"/>
    </xf>
    <xf numFmtId="0" fontId="31" fillId="0" borderId="0" xfId="0" applyFont="1" applyAlignment="1">
      <alignment horizontal="right" vertical="center"/>
    </xf>
    <xf numFmtId="164" fontId="22" fillId="0" borderId="12" xfId="0" applyNumberFormat="1" applyFont="1" applyBorder="1" applyAlignment="1">
      <alignment horizontal="center" vertical="center"/>
    </xf>
    <xf numFmtId="164" fontId="22" fillId="0" borderId="14" xfId="0" applyNumberFormat="1" applyFont="1" applyBorder="1" applyAlignment="1">
      <alignment horizontal="center" vertical="center"/>
    </xf>
    <xf numFmtId="0" fontId="21" fillId="0" borderId="9" xfId="0" applyFont="1" applyBorder="1" applyAlignment="1">
      <alignment horizontal="center" vertical="center"/>
    </xf>
    <xf numFmtId="14" fontId="22" fillId="0" borderId="9" xfId="0" applyNumberFormat="1" applyFont="1" applyBorder="1" applyAlignment="1">
      <alignment horizontal="center" vertical="center"/>
    </xf>
    <xf numFmtId="0" fontId="0" fillId="0" borderId="6" xfId="0" quotePrefix="1" applyBorder="1" applyAlignment="1">
      <alignment horizontal="left" vertical="center" wrapText="1"/>
    </xf>
    <xf numFmtId="0" fontId="0" fillId="0" borderId="7" xfId="0" quotePrefix="1" applyBorder="1" applyAlignment="1">
      <alignment horizontal="left" vertical="center" wrapText="1"/>
    </xf>
    <xf numFmtId="0" fontId="0" fillId="0" borderId="8" xfId="0" quotePrefix="1" applyBorder="1" applyAlignment="1">
      <alignment horizontal="left" vertical="center" wrapText="1"/>
    </xf>
    <xf numFmtId="0" fontId="23" fillId="0" borderId="4" xfId="0" applyFont="1" applyBorder="1" applyAlignment="1">
      <alignment horizontal="left" vertical="center"/>
    </xf>
    <xf numFmtId="0" fontId="23" fillId="0" borderId="0" xfId="0" applyFont="1" applyAlignment="1">
      <alignment horizontal="left" vertical="center"/>
    </xf>
    <xf numFmtId="0" fontId="21" fillId="0" borderId="0" xfId="0" applyFont="1" applyAlignment="1">
      <alignment horizontal="left" vertical="center" wrapText="1"/>
    </xf>
    <xf numFmtId="0" fontId="23" fillId="0" borderId="5" xfId="0" applyFont="1" applyBorder="1" applyAlignment="1">
      <alignment horizontal="left" vertical="center"/>
    </xf>
    <xf numFmtId="164" fontId="22" fillId="0" borderId="11" xfId="0" applyNumberFormat="1" applyFont="1" applyBorder="1" applyAlignment="1">
      <alignment horizontal="center" vertical="center" wrapText="1"/>
    </xf>
    <xf numFmtId="0" fontId="0" fillId="0" borderId="4" xfId="0" quotePrefix="1" applyBorder="1" applyAlignment="1">
      <alignment horizontal="left" vertical="center" wrapText="1"/>
    </xf>
    <xf numFmtId="0" fontId="0" fillId="0" borderId="0" xfId="0" quotePrefix="1" applyAlignment="1">
      <alignment horizontal="left" vertical="center" wrapText="1"/>
    </xf>
    <xf numFmtId="0" fontId="0" fillId="0" borderId="5" xfId="0" quotePrefix="1" applyBorder="1" applyAlignment="1">
      <alignment horizontal="left" vertical="center" wrapText="1"/>
    </xf>
    <xf numFmtId="0" fontId="22" fillId="0" borderId="55" xfId="0" applyFont="1" applyBorder="1" applyAlignment="1">
      <alignment horizontal="center" vertical="center"/>
    </xf>
    <xf numFmtId="0" fontId="22" fillId="0" borderId="50" xfId="0"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166" fontId="0" fillId="0" borderId="0" xfId="0" applyNumberFormat="1" applyAlignment="1">
      <alignment horizontal="center" vertical="center"/>
    </xf>
    <xf numFmtId="0" fontId="0" fillId="0" borderId="0" xfId="0" applyAlignment="1">
      <alignment horizontal="left" vertical="center"/>
    </xf>
    <xf numFmtId="0" fontId="26" fillId="0" borderId="11" xfId="0" applyFont="1" applyBorder="1" applyAlignment="1">
      <alignment horizontal="center" vertical="center"/>
    </xf>
    <xf numFmtId="0" fontId="22" fillId="0" borderId="11" xfId="0" applyFont="1" applyBorder="1" applyAlignment="1">
      <alignment horizontal="center" vertical="center"/>
    </xf>
    <xf numFmtId="0" fontId="22" fillId="0" borderId="11" xfId="0" applyFont="1" applyBorder="1" applyAlignment="1">
      <alignment horizontal="center" vertical="center" wrapText="1"/>
    </xf>
    <xf numFmtId="166" fontId="0" fillId="0" borderId="11" xfId="0" applyNumberFormat="1" applyBorder="1" applyAlignment="1">
      <alignment horizontal="center"/>
    </xf>
    <xf numFmtId="0" fontId="26" fillId="0" borderId="16" xfId="0" applyFont="1" applyBorder="1" applyAlignment="1">
      <alignment horizontal="center" vertical="center"/>
    </xf>
    <xf numFmtId="0" fontId="26" fillId="0" borderId="10" xfId="0" applyFont="1" applyBorder="1" applyAlignment="1">
      <alignment horizontal="center" vertical="center"/>
    </xf>
    <xf numFmtId="0" fontId="26" fillId="0" borderId="17" xfId="0" applyFont="1" applyBorder="1" applyAlignment="1">
      <alignment horizontal="center" vertical="center"/>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0" fillId="0" borderId="17" xfId="0" applyBorder="1" applyAlignment="1">
      <alignment horizontal="center" vertical="center" wrapText="1"/>
    </xf>
    <xf numFmtId="0" fontId="0" fillId="0" borderId="1" xfId="0" quotePrefix="1" applyBorder="1" applyAlignment="1">
      <alignment horizontal="left" vertical="center" wrapText="1"/>
    </xf>
    <xf numFmtId="0" fontId="0" fillId="0" borderId="2" xfId="0" quotePrefix="1" applyBorder="1" applyAlignment="1">
      <alignment horizontal="left" vertical="center" wrapText="1"/>
    </xf>
    <xf numFmtId="0" fontId="0" fillId="0" borderId="3" xfId="0" quotePrefix="1" applyBorder="1" applyAlignment="1">
      <alignment horizontal="left" vertical="center" wrapText="1"/>
    </xf>
    <xf numFmtId="164" fontId="23" fillId="0" borderId="9" xfId="0" applyNumberFormat="1" applyFont="1" applyBorder="1" applyAlignment="1">
      <alignment horizontal="center" vertical="center"/>
    </xf>
    <xf numFmtId="0" fontId="22" fillId="0" borderId="59" xfId="0" applyFont="1" applyBorder="1" applyAlignment="1">
      <alignment horizontal="center" vertical="center"/>
    </xf>
    <xf numFmtId="0" fontId="22" fillId="0" borderId="60" xfId="0" applyFont="1" applyBorder="1" applyAlignment="1">
      <alignment horizontal="center" vertical="center"/>
    </xf>
    <xf numFmtId="0" fontId="22" fillId="0" borderId="61" xfId="0" applyFont="1" applyBorder="1" applyAlignment="1">
      <alignment horizontal="center" vertical="center"/>
    </xf>
    <xf numFmtId="0" fontId="22" fillId="0" borderId="62"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xf>
    <xf numFmtId="0" fontId="0" fillId="0" borderId="0" xfId="0" applyAlignment="1">
      <alignment horizontal="center" vertical="center"/>
    </xf>
    <xf numFmtId="0" fontId="26" fillId="0" borderId="15" xfId="0" applyFont="1" applyBorder="1" applyAlignment="1">
      <alignment horizontal="center"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0" fillId="0" borderId="0" xfId="0" applyAlignment="1">
      <alignment horizontal="left" vertical="center" wrapText="1"/>
    </xf>
    <xf numFmtId="0" fontId="16" fillId="0" borderId="0" xfId="0" applyFont="1" applyAlignment="1">
      <alignment horizontal="center" vertical="center"/>
    </xf>
    <xf numFmtId="0" fontId="14" fillId="0" borderId="2" xfId="0" applyFont="1" applyBorder="1" applyAlignment="1">
      <alignment horizontal="center" vertical="center" wrapText="1"/>
    </xf>
    <xf numFmtId="0" fontId="14" fillId="0" borderId="0" xfId="0" applyFont="1" applyAlignment="1">
      <alignment horizontal="center" vertical="center" wrapText="1"/>
    </xf>
    <xf numFmtId="0" fontId="23" fillId="0" borderId="7" xfId="0" applyFont="1" applyBorder="1" applyAlignment="1">
      <alignment horizontal="center" vertical="center" wrapText="1"/>
    </xf>
    <xf numFmtId="0" fontId="20" fillId="0" borderId="0" xfId="0" applyFont="1" applyAlignment="1">
      <alignment horizontal="center" vertical="center"/>
    </xf>
    <xf numFmtId="172" fontId="22" fillId="0" borderId="9" xfId="0" applyNumberFormat="1" applyFont="1" applyBorder="1" applyAlignment="1">
      <alignment horizontal="center" vertical="center" wrapText="1"/>
    </xf>
    <xf numFmtId="0" fontId="21" fillId="0" borderId="11" xfId="0" applyFont="1" applyBorder="1" applyAlignment="1">
      <alignment horizontal="center" vertical="center"/>
    </xf>
    <xf numFmtId="0" fontId="15" fillId="0" borderId="38" xfId="0" applyFont="1" applyBorder="1" applyAlignment="1">
      <alignment horizontal="center" vertical="center" wrapText="1"/>
    </xf>
    <xf numFmtId="0" fontId="15" fillId="0" borderId="39" xfId="0" applyFont="1" applyBorder="1" applyAlignment="1">
      <alignment horizontal="center" vertical="center" wrapText="1"/>
    </xf>
    <xf numFmtId="0" fontId="15" fillId="0" borderId="40"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46" xfId="0" applyFont="1" applyBorder="1" applyAlignment="1">
      <alignment horizontal="center" vertical="center" wrapText="1"/>
    </xf>
    <xf numFmtId="0" fontId="15" fillId="0" borderId="47"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44" xfId="0" applyFont="1" applyBorder="1" applyAlignment="1">
      <alignment horizontal="center" vertical="center" wrapText="1"/>
    </xf>
    <xf numFmtId="0" fontId="17" fillId="0" borderId="47" xfId="0" applyFont="1" applyBorder="1" applyAlignment="1">
      <alignment horizontal="center" vertical="center" wrapText="1"/>
    </xf>
    <xf numFmtId="164" fontId="29" fillId="0" borderId="48" xfId="1" applyNumberFormat="1" applyFont="1" applyBorder="1" applyAlignment="1">
      <alignment horizontal="center" vertical="center" wrapText="1"/>
    </xf>
    <xf numFmtId="164" fontId="29" fillId="0" borderId="49" xfId="1" applyNumberFormat="1" applyFont="1" applyBorder="1" applyAlignment="1">
      <alignment horizontal="center" vertical="center" wrapText="1"/>
    </xf>
    <xf numFmtId="0" fontId="18" fillId="0" borderId="48" xfId="0" applyFont="1" applyBorder="1" applyAlignment="1">
      <alignment horizontal="center" vertical="center" wrapText="1"/>
    </xf>
    <xf numFmtId="0" fontId="18" fillId="0" borderId="46" xfId="0" applyFont="1" applyBorder="1" applyAlignment="1">
      <alignment horizontal="center" vertical="center" wrapText="1"/>
    </xf>
    <xf numFmtId="0" fontId="32" fillId="0" borderId="0" xfId="0" applyFont="1" applyAlignment="1">
      <alignment horizontal="center" vertical="center"/>
    </xf>
    <xf numFmtId="0" fontId="22" fillId="0" borderId="9" xfId="0" applyFont="1" applyBorder="1" applyAlignment="1">
      <alignment horizontal="center" vertical="center"/>
    </xf>
    <xf numFmtId="0" fontId="38" fillId="0" borderId="9" xfId="0" applyFont="1" applyBorder="1" applyAlignment="1">
      <alignment horizontal="center" vertical="center" wrapText="1"/>
    </xf>
    <xf numFmtId="0" fontId="14" fillId="0" borderId="0" xfId="0" applyFont="1" applyAlignment="1">
      <alignment horizontal="center" vertical="center"/>
    </xf>
    <xf numFmtId="171" fontId="0" fillId="0" borderId="0" xfId="0" applyNumberFormat="1" applyAlignment="1">
      <alignment horizontal="center" vertical="center"/>
    </xf>
    <xf numFmtId="164" fontId="22" fillId="0" borderId="11" xfId="0" applyNumberFormat="1" applyFont="1" applyBorder="1" applyAlignment="1">
      <alignment horizontal="center" vertical="center"/>
    </xf>
    <xf numFmtId="0" fontId="40" fillId="0" borderId="4" xfId="0" applyFont="1" applyBorder="1" applyAlignment="1">
      <alignment horizontal="center" vertical="center"/>
    </xf>
    <xf numFmtId="0" fontId="40" fillId="0" borderId="0" xfId="0" applyFont="1" applyAlignment="1">
      <alignment horizontal="center" vertical="center"/>
    </xf>
    <xf numFmtId="0" fontId="21" fillId="0" borderId="11" xfId="0" applyFont="1" applyBorder="1" applyAlignment="1">
      <alignment horizontal="center" vertical="center" wrapText="1"/>
    </xf>
    <xf numFmtId="0" fontId="16" fillId="0" borderId="11" xfId="0" applyFont="1" applyBorder="1" applyAlignment="1">
      <alignment horizontal="center" vertical="center" wrapText="1"/>
    </xf>
    <xf numFmtId="166" fontId="16" fillId="0" borderId="55" xfId="0" applyNumberFormat="1" applyFont="1" applyBorder="1" applyAlignment="1">
      <alignment horizontal="center" vertical="center"/>
    </xf>
    <xf numFmtId="166" fontId="16" fillId="0" borderId="50" xfId="0" applyNumberFormat="1" applyFont="1" applyBorder="1" applyAlignment="1">
      <alignment horizontal="center" vertical="center"/>
    </xf>
    <xf numFmtId="0" fontId="14" fillId="0" borderId="16" xfId="0" applyFont="1" applyBorder="1" applyAlignment="1">
      <alignment horizontal="center" vertical="center"/>
    </xf>
    <xf numFmtId="0" fontId="14" fillId="0" borderId="10" xfId="0" applyFont="1" applyBorder="1" applyAlignment="1">
      <alignment horizontal="center" vertical="center"/>
    </xf>
    <xf numFmtId="0" fontId="14" fillId="0" borderId="17" xfId="0" applyFont="1" applyBorder="1" applyAlignment="1">
      <alignment horizontal="center" vertical="center"/>
    </xf>
    <xf numFmtId="0" fontId="14" fillId="0" borderId="11" xfId="0" applyFont="1" applyBorder="1" applyAlignment="1">
      <alignment horizontal="center"/>
    </xf>
    <xf numFmtId="0" fontId="14" fillId="0" borderId="11" xfId="0" applyFont="1" applyBorder="1" applyAlignment="1">
      <alignment horizontal="center" vertical="center"/>
    </xf>
    <xf numFmtId="0" fontId="14" fillId="0" borderId="12"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4" fillId="0" borderId="16" xfId="0" applyFont="1" applyBorder="1" applyAlignment="1">
      <alignment horizontal="center"/>
    </xf>
    <xf numFmtId="0" fontId="14" fillId="0" borderId="10" xfId="0" applyFont="1" applyBorder="1" applyAlignment="1">
      <alignment horizontal="center"/>
    </xf>
    <xf numFmtId="0" fontId="14" fillId="0" borderId="17" xfId="0" applyFont="1" applyBorder="1" applyAlignment="1">
      <alignment horizontal="center"/>
    </xf>
    <xf numFmtId="0" fontId="21" fillId="0" borderId="0" xfId="0" applyFont="1" applyAlignment="1">
      <alignment horizontal="center" vertical="center"/>
    </xf>
    <xf numFmtId="0" fontId="23" fillId="0" borderId="1" xfId="0" applyFont="1" applyBorder="1" applyAlignment="1">
      <alignment horizontal="center" wrapText="1"/>
    </xf>
    <xf numFmtId="0" fontId="23" fillId="0" borderId="3" xfId="0" applyFont="1" applyBorder="1" applyAlignment="1">
      <alignment horizontal="center" wrapText="1"/>
    </xf>
    <xf numFmtId="0" fontId="23" fillId="0" borderId="4"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8" xfId="0" applyFont="1" applyBorder="1" applyAlignment="1">
      <alignment horizontal="center" wrapText="1"/>
    </xf>
    <xf numFmtId="0" fontId="0" fillId="0" borderId="11" xfId="0" applyBorder="1" applyAlignment="1">
      <alignment horizontal="center" vertical="center"/>
    </xf>
    <xf numFmtId="0" fontId="0" fillId="8" borderId="11" xfId="0" applyFill="1" applyBorder="1" applyAlignment="1">
      <alignment horizontal="center"/>
    </xf>
    <xf numFmtId="0" fontId="14" fillId="0" borderId="51" xfId="0" applyFont="1" applyBorder="1" applyAlignment="1">
      <alignment horizontal="center" vertical="center" wrapText="1"/>
    </xf>
    <xf numFmtId="0" fontId="14" fillId="0" borderId="58" xfId="0" applyFont="1"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6" xfId="0" applyBorder="1" applyAlignment="1">
      <alignment horizontal="center" vertical="center"/>
    </xf>
    <xf numFmtId="0" fontId="0" fillId="0" borderId="15" xfId="0" applyBorder="1" applyAlignment="1">
      <alignment horizontal="center" vertical="center"/>
    </xf>
    <xf numFmtId="0" fontId="0" fillId="0" borderId="54" xfId="0" applyBorder="1" applyAlignment="1">
      <alignment horizontal="center" vertical="center"/>
    </xf>
    <xf numFmtId="0" fontId="0" fillId="0" borderId="38" xfId="0" applyBorder="1" applyAlignment="1">
      <alignment horizontal="center" vertical="center"/>
    </xf>
    <xf numFmtId="0" fontId="0" fillId="0" borderId="40" xfId="0" applyBorder="1" applyAlignment="1">
      <alignment horizontal="center" vertical="center"/>
    </xf>
    <xf numFmtId="0" fontId="0" fillId="0" borderId="42" xfId="0" applyBorder="1" applyAlignment="1">
      <alignment horizontal="center" vertical="center"/>
    </xf>
    <xf numFmtId="0" fontId="0" fillId="0" borderId="44" xfId="0" applyBorder="1" applyAlignment="1">
      <alignment horizontal="center"/>
    </xf>
    <xf numFmtId="0" fontId="37" fillId="0" borderId="0" xfId="0" applyFont="1" applyAlignment="1">
      <alignment horizontal="center" vertical="center"/>
    </xf>
    <xf numFmtId="0" fontId="14" fillId="0" borderId="38" xfId="0" applyFont="1" applyBorder="1" applyAlignment="1">
      <alignment horizontal="center" vertical="center"/>
    </xf>
    <xf numFmtId="0" fontId="14" fillId="0" borderId="40" xfId="0" applyFont="1" applyBorder="1" applyAlignment="1">
      <alignment horizontal="center" vertical="center"/>
    </xf>
    <xf numFmtId="0" fontId="0" fillId="0" borderId="43" xfId="0" applyBorder="1" applyAlignment="1">
      <alignment horizontal="center" vertical="center"/>
    </xf>
    <xf numFmtId="0" fontId="14" fillId="0" borderId="42" xfId="0" applyFont="1" applyBorder="1" applyAlignment="1">
      <alignment horizontal="center" vertical="center"/>
    </xf>
    <xf numFmtId="0" fontId="0" fillId="0" borderId="43" xfId="0" applyBorder="1" applyAlignment="1">
      <alignment horizontal="center" vertical="center" wrapText="1"/>
    </xf>
    <xf numFmtId="0" fontId="0" fillId="0" borderId="44" xfId="0" applyBorder="1" applyAlignment="1">
      <alignment horizontal="center" vertical="center"/>
    </xf>
    <xf numFmtId="0" fontId="0" fillId="0" borderId="45" xfId="0" applyBorder="1" applyAlignment="1">
      <alignment horizontal="center" vertical="center" wrapText="1"/>
    </xf>
    <xf numFmtId="0" fontId="0" fillId="0" borderId="66" xfId="0" applyBorder="1" applyAlignment="1">
      <alignment horizontal="center" vertical="center"/>
    </xf>
    <xf numFmtId="0" fontId="0" fillId="0" borderId="46" xfId="0" applyBorder="1" applyAlignment="1">
      <alignment horizontal="center" vertical="center"/>
    </xf>
    <xf numFmtId="0" fontId="14" fillId="0" borderId="54" xfId="0" applyFont="1" applyBorder="1" applyAlignment="1">
      <alignment horizontal="center" vertical="center"/>
    </xf>
    <xf numFmtId="0" fontId="14" fillId="0" borderId="14" xfId="0" applyFont="1" applyBorder="1" applyAlignment="1">
      <alignment horizontal="center" vertical="center"/>
    </xf>
    <xf numFmtId="0" fontId="1" fillId="0" borderId="23" xfId="1" applyFont="1" applyBorder="1" applyAlignment="1">
      <alignment horizontal="justify" vertical="center" wrapText="1"/>
    </xf>
    <xf numFmtId="0" fontId="1" fillId="0" borderId="24" xfId="1" applyFont="1" applyBorder="1" applyAlignment="1">
      <alignment horizontal="justify" vertical="center" wrapText="1"/>
    </xf>
    <xf numFmtId="0" fontId="1" fillId="0" borderId="25" xfId="1" applyFont="1" applyBorder="1" applyAlignment="1">
      <alignment horizontal="justify" vertical="center" wrapText="1"/>
    </xf>
    <xf numFmtId="0" fontId="1" fillId="0" borderId="23" xfId="1" applyFont="1" applyBorder="1" applyAlignment="1">
      <alignment horizontal="center" vertical="center" wrapText="1"/>
    </xf>
    <xf numFmtId="0" fontId="1" fillId="0" borderId="25" xfId="1" applyFont="1" applyBorder="1" applyAlignment="1">
      <alignment horizontal="center" vertical="center" wrapText="1"/>
    </xf>
    <xf numFmtId="0" fontId="2" fillId="0" borderId="11" xfId="1" applyBorder="1" applyAlignment="1">
      <alignment horizontal="center"/>
    </xf>
    <xf numFmtId="0" fontId="3" fillId="0" borderId="11" xfId="1" applyFont="1" applyBorder="1" applyAlignment="1">
      <alignment horizontal="center" vertical="center" wrapText="1"/>
    </xf>
    <xf numFmtId="0" fontId="7" fillId="0" borderId="0" xfId="1" applyFont="1" applyAlignment="1">
      <alignment horizontal="center" vertical="center"/>
    </xf>
    <xf numFmtId="0" fontId="9" fillId="3" borderId="20" xfId="1" applyFont="1" applyFill="1" applyBorder="1" applyAlignment="1">
      <alignment horizontal="center" vertical="center" wrapText="1"/>
    </xf>
    <xf numFmtId="0" fontId="9" fillId="3" borderId="0" xfId="1" applyFont="1" applyFill="1" applyAlignment="1">
      <alignment horizontal="center" vertical="center" wrapText="1"/>
    </xf>
    <xf numFmtId="164" fontId="41" fillId="0" borderId="23" xfId="1" applyNumberFormat="1" applyFont="1" applyBorder="1" applyAlignment="1">
      <alignment horizontal="center" vertical="center" wrapText="1"/>
    </xf>
    <xf numFmtId="164" fontId="41" fillId="0" borderId="24" xfId="1" applyNumberFormat="1" applyFont="1" applyBorder="1" applyAlignment="1">
      <alignment horizontal="center" vertical="center" wrapText="1"/>
    </xf>
    <xf numFmtId="164" fontId="41" fillId="0" borderId="25" xfId="1" applyNumberFormat="1" applyFont="1" applyBorder="1" applyAlignment="1">
      <alignment horizontal="center" vertical="center" wrapText="1"/>
    </xf>
    <xf numFmtId="0" fontId="1" fillId="0" borderId="63" xfId="1" applyFont="1" applyBorder="1" applyAlignment="1">
      <alignment horizontal="justify" vertical="center" wrapText="1"/>
    </xf>
    <xf numFmtId="0" fontId="1" fillId="0" borderId="65" xfId="1" applyFont="1" applyBorder="1" applyAlignment="1">
      <alignment horizontal="justify" vertical="center" wrapText="1"/>
    </xf>
    <xf numFmtId="0" fontId="1" fillId="0" borderId="64" xfId="1" applyFont="1" applyBorder="1" applyAlignment="1">
      <alignment horizontal="justify" vertical="center" wrapText="1"/>
    </xf>
    <xf numFmtId="0" fontId="10" fillId="3" borderId="26" xfId="1" applyFont="1" applyFill="1" applyBorder="1" applyAlignment="1">
      <alignment horizontal="center" vertical="center" wrapText="1"/>
    </xf>
    <xf numFmtId="0" fontId="10" fillId="3" borderId="0" xfId="1" applyFont="1" applyFill="1" applyAlignment="1">
      <alignment horizontal="center" vertical="center" wrapText="1"/>
    </xf>
    <xf numFmtId="0" fontId="11" fillId="0" borderId="27" xfId="1" applyFont="1" applyBorder="1" applyAlignment="1">
      <alignment horizontal="center" vertical="center" wrapText="1"/>
    </xf>
    <xf numFmtId="0" fontId="11" fillId="0" borderId="28" xfId="1" applyFont="1" applyBorder="1" applyAlignment="1">
      <alignment horizontal="center" vertical="center" wrapText="1"/>
    </xf>
    <xf numFmtId="0" fontId="11" fillId="0" borderId="29" xfId="1" applyFont="1" applyBorder="1" applyAlignment="1">
      <alignment horizontal="center" vertical="center" wrapText="1"/>
    </xf>
    <xf numFmtId="0" fontId="11" fillId="0" borderId="30" xfId="1" applyFont="1" applyBorder="1" applyAlignment="1">
      <alignment horizontal="center" vertical="center" wrapText="1"/>
    </xf>
    <xf numFmtId="0" fontId="12" fillId="0" borderId="27" xfId="1" applyFont="1" applyBorder="1" applyAlignment="1">
      <alignment horizontal="center" vertical="center" wrapText="1"/>
    </xf>
    <xf numFmtId="0" fontId="12" fillId="0" borderId="28" xfId="1" applyFont="1" applyBorder="1" applyAlignment="1">
      <alignment horizontal="center" vertical="center" wrapText="1"/>
    </xf>
    <xf numFmtId="0" fontId="12" fillId="0" borderId="29" xfId="1" applyFont="1" applyBorder="1" applyAlignment="1">
      <alignment horizontal="center" vertical="center" wrapText="1"/>
    </xf>
    <xf numFmtId="0" fontId="12" fillId="0" borderId="30" xfId="1" applyFont="1" applyBorder="1" applyAlignment="1">
      <alignment horizontal="center" vertical="center" wrapText="1"/>
    </xf>
    <xf numFmtId="0" fontId="12" fillId="0" borderId="31" xfId="1" applyFont="1" applyBorder="1" applyAlignment="1">
      <alignment horizontal="center" vertical="center" wrapText="1"/>
    </xf>
    <xf numFmtId="0" fontId="12" fillId="0" borderId="32" xfId="1" applyFont="1" applyBorder="1" applyAlignment="1">
      <alignment horizontal="center" vertical="center" wrapText="1"/>
    </xf>
    <xf numFmtId="0" fontId="12" fillId="0" borderId="33" xfId="1" applyFont="1" applyBorder="1" applyAlignment="1">
      <alignment horizontal="center" vertical="center" wrapText="1"/>
    </xf>
    <xf numFmtId="0" fontId="41" fillId="0" borderId="23" xfId="1" applyFont="1" applyBorder="1" applyAlignment="1">
      <alignment horizontal="center" vertical="center" wrapText="1"/>
    </xf>
    <xf numFmtId="0" fontId="41" fillId="0" borderId="24" xfId="1" applyFont="1" applyBorder="1" applyAlignment="1">
      <alignment horizontal="center" vertical="center" wrapText="1"/>
    </xf>
    <xf numFmtId="0" fontId="41" fillId="0" borderId="25" xfId="1" applyFont="1" applyBorder="1" applyAlignment="1">
      <alignment horizontal="center" vertical="center" wrapText="1"/>
    </xf>
  </cellXfs>
  <cellStyles count="3">
    <cellStyle name="Normal" xfId="0" builtinId="0"/>
    <cellStyle name="Normal 2 2" xfId="1" xr:uid="{0D2419F1-2EDE-45DC-800B-0798EFDCEAF2}"/>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Escape válvula</c:v>
          </c:tx>
          <c:spPr>
            <a:ln w="25400" cap="rnd">
              <a:noFill/>
              <a:round/>
            </a:ln>
            <a:effectLst/>
          </c:spPr>
          <c:marker>
            <c:symbol val="circle"/>
            <c:size val="3"/>
            <c:spPr>
              <a:solidFill>
                <a:schemeClr val="accent1"/>
              </a:solidFill>
              <a:ln w="9525">
                <a:solidFill>
                  <a:schemeClr val="accent1"/>
                </a:solidFill>
              </a:ln>
              <a:effectLst/>
            </c:spPr>
          </c:marker>
          <c:errBars>
            <c:errDir val="y"/>
            <c:errBarType val="both"/>
            <c:errValType val="cust"/>
            <c:noEndCap val="0"/>
            <c:plus>
              <c:numRef>
                <c:f>'DATOS INCERTIDUMBRE'!$M$6:$M$9</c:f>
                <c:numCache>
                  <c:formatCode>General</c:formatCode>
                  <c:ptCount val="4"/>
                  <c:pt idx="0">
                    <c:v>0.18224339680504575</c:v>
                  </c:pt>
                  <c:pt idx="1">
                    <c:v>0.18224339680504575</c:v>
                  </c:pt>
                  <c:pt idx="2">
                    <c:v>0.18224339680504575</c:v>
                  </c:pt>
                  <c:pt idx="3">
                    <c:v>0.18224339680504575</c:v>
                  </c:pt>
                </c:numCache>
              </c:numRef>
            </c:plus>
            <c:minus>
              <c:numRef>
                <c:f>'DATOS INCERTIDUMBRE'!$M$6:$M$9</c:f>
                <c:numCache>
                  <c:formatCode>General</c:formatCode>
                  <c:ptCount val="4"/>
                  <c:pt idx="0">
                    <c:v>0.18224339680504575</c:v>
                  </c:pt>
                  <c:pt idx="1">
                    <c:v>0.18224339680504575</c:v>
                  </c:pt>
                  <c:pt idx="2">
                    <c:v>0.18224339680504575</c:v>
                  </c:pt>
                  <c:pt idx="3">
                    <c:v>0.18224339680504575</c:v>
                  </c:pt>
                </c:numCache>
              </c:numRef>
            </c:minus>
            <c:spPr>
              <a:noFill/>
              <a:ln w="9525" cap="flat" cmpd="sng" algn="ctr">
                <a:solidFill>
                  <a:schemeClr val="tx1">
                    <a:lumMod val="65000"/>
                    <a:lumOff val="35000"/>
                  </a:schemeClr>
                </a:solidFill>
                <a:round/>
              </a:ln>
              <a:effectLst/>
            </c:spPr>
          </c:errBars>
          <c:xVal>
            <c:numRef>
              <c:f>'DATOS INCERTIDUMBRE'!$K$6:$K$9</c:f>
              <c:numCache>
                <c:formatCode>General</c:formatCode>
                <c:ptCount val="4"/>
                <c:pt idx="0">
                  <c:v>1</c:v>
                </c:pt>
                <c:pt idx="1">
                  <c:v>2</c:v>
                </c:pt>
                <c:pt idx="2">
                  <c:v>3</c:v>
                </c:pt>
                <c:pt idx="3">
                  <c:v>4</c:v>
                </c:pt>
              </c:numCache>
            </c:numRef>
          </c:xVal>
          <c:yVal>
            <c:numRef>
              <c:f>'DATOS INCERTIDUMBRE'!$L$6:$L$9</c:f>
              <c:numCache>
                <c:formatCode>0.0</c:formatCode>
                <c:ptCount val="4"/>
                <c:pt idx="0">
                  <c:v>-1.07056218167401E-3</c:v>
                </c:pt>
                <c:pt idx="1">
                  <c:v>-1.07056218167401E-3</c:v>
                </c:pt>
                <c:pt idx="2">
                  <c:v>-1.07056218167401E-3</c:v>
                </c:pt>
                <c:pt idx="3">
                  <c:v>-1.07056218167401E-3</c:v>
                </c:pt>
              </c:numCache>
            </c:numRef>
          </c:yVal>
          <c:smooth val="0"/>
          <c:extLst>
            <c:ext xmlns:c16="http://schemas.microsoft.com/office/drawing/2014/chart" uri="{C3380CC4-5D6E-409C-BE32-E72D297353CC}">
              <c16:uniqueId val="{00000000-C6F9-4FC6-BFAF-4A99454C2B74}"/>
            </c:ext>
          </c:extLst>
        </c:ser>
        <c:ser>
          <c:idx val="1"/>
          <c:order val="1"/>
          <c:tx>
            <c:v>Error mínimo y máximo permitido</c:v>
          </c:tx>
          <c:spPr>
            <a:ln w="25400" cap="rnd">
              <a:solidFill>
                <a:srgbClr val="FF0000"/>
              </a:solidFill>
              <a:prstDash val="sysDash"/>
              <a:round/>
            </a:ln>
            <a:effectLst/>
          </c:spPr>
          <c:marker>
            <c:symbol val="circle"/>
            <c:size val="5"/>
            <c:spPr>
              <a:noFill/>
              <a:ln w="9525">
                <a:noFill/>
              </a:ln>
              <a:effectLst/>
            </c:spPr>
          </c:marker>
          <c:xVal>
            <c:numRef>
              <c:f>'DATOS INCERTIDUMBRE'!$K$5:$K$10</c:f>
              <c:numCache>
                <c:formatCode>General</c:formatCode>
                <c:ptCount val="6"/>
                <c:pt idx="0">
                  <c:v>0</c:v>
                </c:pt>
                <c:pt idx="1">
                  <c:v>1</c:v>
                </c:pt>
                <c:pt idx="2">
                  <c:v>2</c:v>
                </c:pt>
                <c:pt idx="3">
                  <c:v>3</c:v>
                </c:pt>
                <c:pt idx="4">
                  <c:v>4</c:v>
                </c:pt>
                <c:pt idx="5">
                  <c:v>5</c:v>
                </c:pt>
              </c:numCache>
            </c:numRef>
          </c:xVal>
          <c:yVal>
            <c:numRef>
              <c:f>'DATOS INCERTIDUMBRE'!$N$5:$N$10</c:f>
              <c:numCache>
                <c:formatCode>General</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1-C6F9-4FC6-BFAF-4A99454C2B74}"/>
            </c:ext>
          </c:extLst>
        </c:ser>
        <c:ser>
          <c:idx val="2"/>
          <c:order val="2"/>
          <c:tx>
            <c:v>Error mínimo permitido</c:v>
          </c:tx>
          <c:spPr>
            <a:ln w="25400" cap="rnd">
              <a:solidFill>
                <a:srgbClr val="FF0000"/>
              </a:solidFill>
              <a:prstDash val="sysDash"/>
              <a:round/>
            </a:ln>
            <a:effectLst/>
          </c:spPr>
          <c:marker>
            <c:symbol val="circle"/>
            <c:size val="5"/>
            <c:spPr>
              <a:noFill/>
              <a:ln w="9525">
                <a:noFill/>
              </a:ln>
              <a:effectLst/>
            </c:spPr>
          </c:marker>
          <c:xVal>
            <c:numRef>
              <c:f>'DATOS INCERTIDUMBRE'!$K$5:$K$10</c:f>
              <c:numCache>
                <c:formatCode>General</c:formatCode>
                <c:ptCount val="6"/>
                <c:pt idx="0">
                  <c:v>0</c:v>
                </c:pt>
                <c:pt idx="1">
                  <c:v>1</c:v>
                </c:pt>
                <c:pt idx="2">
                  <c:v>2</c:v>
                </c:pt>
                <c:pt idx="3">
                  <c:v>3</c:v>
                </c:pt>
                <c:pt idx="4">
                  <c:v>4</c:v>
                </c:pt>
                <c:pt idx="5">
                  <c:v>5</c:v>
                </c:pt>
              </c:numCache>
            </c:numRef>
          </c:xVal>
          <c:yVal>
            <c:numRef>
              <c:f>'DATOS INCERTIDUMBRE'!$O$5:$O$10</c:f>
              <c:numCache>
                <c:formatCode>General</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2-C6F9-4FC6-BFAF-4A99454C2B74}"/>
            </c:ext>
          </c:extLst>
        </c:ser>
        <c:dLbls>
          <c:showLegendKey val="0"/>
          <c:showVal val="0"/>
          <c:showCatName val="0"/>
          <c:showSerName val="0"/>
          <c:showPercent val="0"/>
          <c:showBubbleSize val="0"/>
        </c:dLbls>
        <c:axId val="1987633599"/>
        <c:axId val="1987634559"/>
      </c:scatterChart>
      <c:valAx>
        <c:axId val="1987633599"/>
        <c:scaling>
          <c:orientation val="minMax"/>
          <c:max val="5"/>
          <c:min val="0"/>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Repetición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crossAx val="1987634559"/>
        <c:crosses val="autoZero"/>
        <c:crossBetween val="midCat"/>
      </c:valAx>
      <c:valAx>
        <c:axId val="198763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Presión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7633599"/>
        <c:crosses val="autoZero"/>
        <c:crossBetween val="midCat"/>
      </c:valAx>
      <c:spPr>
        <a:noFill/>
        <a:ln>
          <a:noFill/>
        </a:ln>
        <a:effectLst/>
      </c:spPr>
    </c:plotArea>
    <c:legend>
      <c:legendPos val="b"/>
      <c:legendEntry>
        <c:idx val="2"/>
        <c:delete val="1"/>
      </c:legendEntry>
      <c:layout>
        <c:manualLayout>
          <c:xMode val="edge"/>
          <c:yMode val="edge"/>
          <c:x val="0.12148996777220135"/>
          <c:y val="0.87623947322884577"/>
          <c:w val="0.84901305510557168"/>
          <c:h val="6.55204946825780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6.png"/><Relationship Id="rId1" Type="http://schemas.openxmlformats.org/officeDocument/2006/relationships/image" Target="../media/image14.png"/><Relationship Id="rId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1</xdr:col>
      <xdr:colOff>173600</xdr:colOff>
      <xdr:row>81</xdr:row>
      <xdr:rowOff>115111</xdr:rowOff>
    </xdr:from>
    <xdr:to>
      <xdr:col>3</xdr:col>
      <xdr:colOff>439630</xdr:colOff>
      <xdr:row>85</xdr:row>
      <xdr:rowOff>91027</xdr:rowOff>
    </xdr:to>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5803" y="16744073"/>
          <a:ext cx="1635700" cy="776498"/>
        </a:xfrm>
        <a:prstGeom prst="rect">
          <a:avLst/>
        </a:prstGeom>
      </xdr:spPr>
    </xdr:pic>
    <xdr:clientData/>
  </xdr:twoCellAnchor>
  <xdr:twoCellAnchor editAs="oneCell">
    <xdr:from>
      <xdr:col>1</xdr:col>
      <xdr:colOff>173008</xdr:colOff>
      <xdr:row>76</xdr:row>
      <xdr:rowOff>38691</xdr:rowOff>
    </xdr:from>
    <xdr:to>
      <xdr:col>3</xdr:col>
      <xdr:colOff>74425</xdr:colOff>
      <xdr:row>80</xdr:row>
      <xdr:rowOff>149487</xdr:rowOff>
    </xdr:to>
    <xdr:pic>
      <xdr:nvPicPr>
        <xdr:cNvPr id="3" name="Picture 6">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2947" y="15799650"/>
          <a:ext cx="1269907" cy="779490"/>
        </a:xfrm>
        <a:prstGeom prst="rect">
          <a:avLst/>
        </a:prstGeom>
      </xdr:spPr>
    </xdr:pic>
    <xdr:clientData/>
  </xdr:twoCellAnchor>
  <xdr:twoCellAnchor editAs="oneCell">
    <xdr:from>
      <xdr:col>3</xdr:col>
      <xdr:colOff>598442</xdr:colOff>
      <xdr:row>81</xdr:row>
      <xdr:rowOff>125537</xdr:rowOff>
    </xdr:from>
    <xdr:to>
      <xdr:col>5</xdr:col>
      <xdr:colOff>402590</xdr:colOff>
      <xdr:row>85</xdr:row>
      <xdr:rowOff>67519</xdr:rowOff>
    </xdr:to>
    <xdr:pic>
      <xdr:nvPicPr>
        <xdr:cNvPr id="6" name="Imagen 5">
          <a:extLst>
            <a:ext uri="{FF2B5EF4-FFF2-40B4-BE49-F238E27FC236}">
              <a16:creationId xmlns:a16="http://schemas.microsoft.com/office/drawing/2014/main" id="{EB493FC8-A609-244C-C3A6-3BFC91B8FD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80315" y="16754499"/>
          <a:ext cx="1337794" cy="742564"/>
        </a:xfrm>
        <a:prstGeom prst="rect">
          <a:avLst/>
        </a:prstGeom>
      </xdr:spPr>
    </xdr:pic>
    <xdr:clientData/>
  </xdr:twoCellAnchor>
  <xdr:twoCellAnchor editAs="oneCell">
    <xdr:from>
      <xdr:col>3</xdr:col>
      <xdr:colOff>261666</xdr:colOff>
      <xdr:row>76</xdr:row>
      <xdr:rowOff>38583</xdr:rowOff>
    </xdr:from>
    <xdr:to>
      <xdr:col>3</xdr:col>
      <xdr:colOff>1002773</xdr:colOff>
      <xdr:row>80</xdr:row>
      <xdr:rowOff>139072</xdr:rowOff>
    </xdr:to>
    <xdr:pic>
      <xdr:nvPicPr>
        <xdr:cNvPr id="8" name="Imagen 7">
          <a:extLst>
            <a:ext uri="{FF2B5EF4-FFF2-40B4-BE49-F238E27FC236}">
              <a16:creationId xmlns:a16="http://schemas.microsoft.com/office/drawing/2014/main" id="{75D884E9-533C-F51B-D2F7-DF37DF67AB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43539" y="15828380"/>
          <a:ext cx="741107" cy="756388"/>
        </a:xfrm>
        <a:prstGeom prst="rect">
          <a:avLst/>
        </a:prstGeom>
      </xdr:spPr>
    </xdr:pic>
    <xdr:clientData/>
  </xdr:twoCellAnchor>
  <xdr:twoCellAnchor editAs="oneCell">
    <xdr:from>
      <xdr:col>4</xdr:col>
      <xdr:colOff>67519</xdr:colOff>
      <xdr:row>76</xdr:row>
      <xdr:rowOff>29570</xdr:rowOff>
    </xdr:from>
    <xdr:to>
      <xdr:col>6</xdr:col>
      <xdr:colOff>1089950</xdr:colOff>
      <xdr:row>80</xdr:row>
      <xdr:rowOff>152207</xdr:rowOff>
    </xdr:to>
    <xdr:pic>
      <xdr:nvPicPr>
        <xdr:cNvPr id="10" name="Imagen 9">
          <a:extLst>
            <a:ext uri="{FF2B5EF4-FFF2-40B4-BE49-F238E27FC236}">
              <a16:creationId xmlns:a16="http://schemas.microsoft.com/office/drawing/2014/main" id="{40813C1C-DC37-0728-66B4-7AE4237518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48987" y="15819367"/>
          <a:ext cx="2179900" cy="778536"/>
        </a:xfrm>
        <a:prstGeom prst="rect">
          <a:avLst/>
        </a:prstGeom>
      </xdr:spPr>
    </xdr:pic>
    <xdr:clientData/>
  </xdr:twoCellAnchor>
  <xdr:twoCellAnchor editAs="oneCell">
    <xdr:from>
      <xdr:col>5</xdr:col>
      <xdr:colOff>535391</xdr:colOff>
      <xdr:row>81</xdr:row>
      <xdr:rowOff>112803</xdr:rowOff>
    </xdr:from>
    <xdr:to>
      <xdr:col>10</xdr:col>
      <xdr:colOff>228955</xdr:colOff>
      <xdr:row>85</xdr:row>
      <xdr:rowOff>77165</xdr:rowOff>
    </xdr:to>
    <xdr:pic>
      <xdr:nvPicPr>
        <xdr:cNvPr id="12" name="Imagen 11">
          <a:extLst>
            <a:ext uri="{FF2B5EF4-FFF2-40B4-BE49-F238E27FC236}">
              <a16:creationId xmlns:a16="http://schemas.microsoft.com/office/drawing/2014/main" id="{8CC24380-6D00-F14E-A61E-F78A586257C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650910" y="16741765"/>
          <a:ext cx="2741564" cy="764944"/>
        </a:xfrm>
        <a:prstGeom prst="rect">
          <a:avLst/>
        </a:prstGeom>
      </xdr:spPr>
    </xdr:pic>
    <xdr:clientData/>
  </xdr:twoCellAnchor>
  <xdr:twoCellAnchor editAs="oneCell">
    <xdr:from>
      <xdr:col>7</xdr:col>
      <xdr:colOff>11994</xdr:colOff>
      <xdr:row>76</xdr:row>
      <xdr:rowOff>28936</xdr:rowOff>
    </xdr:from>
    <xdr:to>
      <xdr:col>9</xdr:col>
      <xdr:colOff>576213</xdr:colOff>
      <xdr:row>80</xdr:row>
      <xdr:rowOff>163975</xdr:rowOff>
    </xdr:to>
    <xdr:pic>
      <xdr:nvPicPr>
        <xdr:cNvPr id="14" name="Imagen 13">
          <a:extLst>
            <a:ext uri="{FF2B5EF4-FFF2-40B4-BE49-F238E27FC236}">
              <a16:creationId xmlns:a16="http://schemas.microsoft.com/office/drawing/2014/main" id="{A684B0CC-5859-EF30-ED59-5E418BAEDF9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66272" y="15818733"/>
          <a:ext cx="853587" cy="790938"/>
        </a:xfrm>
        <a:prstGeom prst="rect">
          <a:avLst/>
        </a:prstGeom>
      </xdr:spPr>
    </xdr:pic>
    <xdr:clientData/>
  </xdr:twoCellAnchor>
  <xdr:twoCellAnchor editAs="oneCell">
    <xdr:from>
      <xdr:col>9</xdr:col>
      <xdr:colOff>711074</xdr:colOff>
      <xdr:row>76</xdr:row>
      <xdr:rowOff>40578</xdr:rowOff>
    </xdr:from>
    <xdr:to>
      <xdr:col>12</xdr:col>
      <xdr:colOff>827370</xdr:colOff>
      <xdr:row>80</xdr:row>
      <xdr:rowOff>172227</xdr:rowOff>
    </xdr:to>
    <xdr:pic>
      <xdr:nvPicPr>
        <xdr:cNvPr id="7" name="Imagen 6">
          <a:extLst>
            <a:ext uri="{FF2B5EF4-FFF2-40B4-BE49-F238E27FC236}">
              <a16:creationId xmlns:a16="http://schemas.microsoft.com/office/drawing/2014/main" id="{C8018A6A-2799-5033-B2CF-0069942EFB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6200000">
          <a:off x="6920453" y="14941709"/>
          <a:ext cx="800343" cy="2520000"/>
        </a:xfrm>
        <a:prstGeom prst="rect">
          <a:avLst/>
        </a:prstGeom>
      </xdr:spPr>
    </xdr:pic>
    <xdr:clientData/>
  </xdr:twoCellAnchor>
  <xdr:twoCellAnchor editAs="oneCell">
    <xdr:from>
      <xdr:col>1</xdr:col>
      <xdr:colOff>173064</xdr:colOff>
      <xdr:row>0</xdr:row>
      <xdr:rowOff>0</xdr:rowOff>
    </xdr:from>
    <xdr:to>
      <xdr:col>3</xdr:col>
      <xdr:colOff>1011264</xdr:colOff>
      <xdr:row>3</xdr:row>
      <xdr:rowOff>15240</xdr:rowOff>
    </xdr:to>
    <xdr:pic>
      <xdr:nvPicPr>
        <xdr:cNvPr id="13" name="Gráfico 12">
          <a:extLst>
            <a:ext uri="{FF2B5EF4-FFF2-40B4-BE49-F238E27FC236}">
              <a16:creationId xmlns:a16="http://schemas.microsoft.com/office/drawing/2014/main" id="{A916F6DD-2DA0-352E-BB1D-E2F0B1F27F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7457" y="0"/>
          <a:ext cx="2209800" cy="836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1324878</xdr:colOff>
      <xdr:row>11</xdr:row>
      <xdr:rowOff>4427</xdr:rowOff>
    </xdr:from>
    <xdr:to>
      <xdr:col>15</xdr:col>
      <xdr:colOff>576053</xdr:colOff>
      <xdr:row>26</xdr:row>
      <xdr:rowOff>83820</xdr:rowOff>
    </xdr:to>
    <xdr:graphicFrame macro="">
      <xdr:nvGraphicFramePr>
        <xdr:cNvPr id="3" name="Gráfico 1">
          <a:extLst>
            <a:ext uri="{FF2B5EF4-FFF2-40B4-BE49-F238E27FC236}">
              <a16:creationId xmlns:a16="http://schemas.microsoft.com/office/drawing/2014/main" id="{3BEB7A36-5881-B969-E231-D254DD90D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349822</xdr:colOff>
      <xdr:row>35</xdr:row>
      <xdr:rowOff>137852</xdr:rowOff>
    </xdr:from>
    <xdr:to>
      <xdr:col>7</xdr:col>
      <xdr:colOff>44486</xdr:colOff>
      <xdr:row>40</xdr:row>
      <xdr:rowOff>175259</xdr:rowOff>
    </xdr:to>
    <xdr:pic>
      <xdr:nvPicPr>
        <xdr:cNvPr id="3" name="Imagen 2">
          <a:extLst>
            <a:ext uri="{FF2B5EF4-FFF2-40B4-BE49-F238E27FC236}">
              <a16:creationId xmlns:a16="http://schemas.microsoft.com/office/drawing/2014/main" id="{319FC983-D466-4C83-AAD8-954FB247ADCD}"/>
            </a:ext>
          </a:extLst>
        </xdr:cNvPr>
        <xdr:cNvPicPr>
          <a:picLocks noChangeAspect="1"/>
        </xdr:cNvPicPr>
      </xdr:nvPicPr>
      <xdr:blipFill>
        <a:blip xmlns:r="http://schemas.openxmlformats.org/officeDocument/2006/relationships" r:embed="rId1"/>
        <a:stretch>
          <a:fillRect/>
        </a:stretch>
      </xdr:blipFill>
      <xdr:spPr>
        <a:xfrm>
          <a:off x="3344482" y="8207432"/>
          <a:ext cx="4387687" cy="9518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485776</xdr:colOff>
      <xdr:row>0</xdr:row>
      <xdr:rowOff>104775</xdr:rowOff>
    </xdr:from>
    <xdr:ext cx="1476374" cy="766091"/>
    <xdr:pic>
      <xdr:nvPicPr>
        <xdr:cNvPr id="2" name="Imagen 1" descr="logo VALSER FINAL png..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6" y="104775"/>
          <a:ext cx="1476374" cy="76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524510</xdr:colOff>
      <xdr:row>20</xdr:row>
      <xdr:rowOff>82550</xdr:rowOff>
    </xdr:from>
    <xdr:to>
      <xdr:col>3</xdr:col>
      <xdr:colOff>881701</xdr:colOff>
      <xdr:row>20</xdr:row>
      <xdr:rowOff>602120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81070" y="5081270"/>
          <a:ext cx="1835471" cy="519570"/>
        </a:xfrm>
        <a:prstGeom prst="rect">
          <a:avLst/>
        </a:prstGeom>
      </xdr:spPr>
    </xdr:pic>
    <xdr:clientData/>
  </xdr:twoCellAnchor>
  <xdr:twoCellAnchor editAs="oneCell">
    <xdr:from>
      <xdr:col>5</xdr:col>
      <xdr:colOff>753250</xdr:colOff>
      <xdr:row>20</xdr:row>
      <xdr:rowOff>118250</xdr:rowOff>
    </xdr:from>
    <xdr:to>
      <xdr:col>7</xdr:col>
      <xdr:colOff>171450</xdr:colOff>
      <xdr:row>20</xdr:row>
      <xdr:rowOff>608729</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41400" y="4880750"/>
          <a:ext cx="1018400" cy="490479"/>
        </a:xfrm>
        <a:prstGeom prst="rect">
          <a:avLst/>
        </a:prstGeom>
      </xdr:spPr>
    </xdr:pic>
    <xdr:clientData/>
  </xdr:twoCellAnchor>
  <xdr:twoCellAnchor editAs="oneCell">
    <xdr:from>
      <xdr:col>0</xdr:col>
      <xdr:colOff>1066800</xdr:colOff>
      <xdr:row>20</xdr:row>
      <xdr:rowOff>57530</xdr:rowOff>
    </xdr:from>
    <xdr:to>
      <xdr:col>1</xdr:col>
      <xdr:colOff>137160</xdr:colOff>
      <xdr:row>20</xdr:row>
      <xdr:rowOff>617482</xdr:rowOff>
    </xdr:to>
    <xdr:pic>
      <xdr:nvPicPr>
        <xdr:cNvPr id="6" name="Imagen 5">
          <a:extLst>
            <a:ext uri="{FF2B5EF4-FFF2-40B4-BE49-F238E27FC236}">
              <a16:creationId xmlns:a16="http://schemas.microsoft.com/office/drawing/2014/main" id="{52BCAA1E-B9B4-E417-4D2C-1DA44409CD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00" y="5056250"/>
          <a:ext cx="548640" cy="559952"/>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10DC-B79C-4191-83BD-F83B27852888}">
  <sheetPr>
    <pageSetUpPr fitToPage="1"/>
  </sheetPr>
  <dimension ref="A1:AF370"/>
  <sheetViews>
    <sheetView tabSelected="1" view="pageBreakPreview" zoomScaleNormal="100" zoomScaleSheetLayoutView="100" workbookViewId="0">
      <selection activeCell="B60" sqref="B60:O60"/>
    </sheetView>
  </sheetViews>
  <sheetFormatPr baseColWidth="10" defaultColWidth="10.88671875" defaultRowHeight="14.4" x14ac:dyDescent="0.3"/>
  <cols>
    <col min="1" max="2" width="3.109375" style="14" customWidth="1"/>
    <col min="3" max="3" width="16.88671875" style="14" customWidth="1"/>
    <col min="4" max="4" width="16" style="14" customWidth="1"/>
    <col min="5" max="5" width="6.33203125" style="14" customWidth="1"/>
    <col min="6" max="6" width="10.5546875" style="14" customWidth="1"/>
    <col min="7" max="7" width="17.6640625" style="14" customWidth="1"/>
    <col min="8" max="8" width="1.88671875" style="14" customWidth="1"/>
    <col min="9" max="9" width="2.44140625" style="14" customWidth="1"/>
    <col min="10" max="10" width="11.88671875" style="14" customWidth="1"/>
    <col min="11" max="11" width="19.5546875" style="14" customWidth="1"/>
    <col min="12" max="12" width="3.6640625" style="158" customWidth="1"/>
    <col min="13" max="13" width="15.109375" style="158" customWidth="1"/>
    <col min="14" max="14" width="19.44140625" style="158" customWidth="1"/>
    <col min="15" max="15" width="2.109375" style="14" customWidth="1"/>
    <col min="16" max="16" width="2.88671875" style="14" customWidth="1"/>
    <col min="17" max="17" width="10.88671875" style="14"/>
    <col min="18" max="18" width="22.6640625" style="14" customWidth="1"/>
    <col min="19" max="19" width="10.44140625" style="14" bestFit="1" customWidth="1"/>
    <col min="20" max="20" width="13.88671875" style="14" customWidth="1"/>
    <col min="21" max="21" width="20.6640625" style="14" customWidth="1"/>
    <col min="22" max="22" width="9.33203125" style="14" bestFit="1" customWidth="1"/>
    <col min="23" max="23" width="17.6640625" style="14" bestFit="1" customWidth="1"/>
    <col min="24" max="24" width="13.109375" style="14" bestFit="1" customWidth="1"/>
    <col min="25" max="25" width="3.5546875" style="14" customWidth="1"/>
    <col min="26" max="26" width="13.88671875" style="14" bestFit="1" customWidth="1"/>
    <col min="27" max="27" width="10.6640625" style="14" bestFit="1" customWidth="1"/>
    <col min="28" max="28" width="11.6640625" style="14" bestFit="1" customWidth="1"/>
    <col min="29" max="29" width="21.6640625" style="14" bestFit="1" customWidth="1"/>
    <col min="30" max="30" width="20.33203125" style="14" bestFit="1" customWidth="1"/>
    <col min="31" max="31" width="18.6640625" style="14" bestFit="1" customWidth="1"/>
    <col min="32" max="32" width="13.44140625" style="14" bestFit="1" customWidth="1"/>
    <col min="33" max="263" width="10.88671875" style="14"/>
    <col min="264" max="264" width="10.44140625" style="14" customWidth="1"/>
    <col min="265" max="265" width="13.44140625" style="14" customWidth="1"/>
    <col min="266" max="267" width="12.109375" style="14" customWidth="1"/>
    <col min="268" max="268" width="19.109375" style="14" customWidth="1"/>
    <col min="269" max="269" width="41.6640625" style="14" customWidth="1"/>
    <col min="270" max="270" width="29" style="14" bestFit="1" customWidth="1"/>
    <col min="271" max="519" width="10.88671875" style="14"/>
    <col min="520" max="520" width="10.44140625" style="14" customWidth="1"/>
    <col min="521" max="521" width="13.44140625" style="14" customWidth="1"/>
    <col min="522" max="523" width="12.109375" style="14" customWidth="1"/>
    <col min="524" max="524" width="19.109375" style="14" customWidth="1"/>
    <col min="525" max="525" width="41.6640625" style="14" customWidth="1"/>
    <col min="526" max="526" width="29" style="14" bestFit="1" customWidth="1"/>
    <col min="527" max="775" width="10.88671875" style="14"/>
    <col min="776" max="776" width="10.44140625" style="14" customWidth="1"/>
    <col min="777" max="777" width="13.44140625" style="14" customWidth="1"/>
    <col min="778" max="779" width="12.109375" style="14" customWidth="1"/>
    <col min="780" max="780" width="19.109375" style="14" customWidth="1"/>
    <col min="781" max="781" width="41.6640625" style="14" customWidth="1"/>
    <col min="782" max="782" width="29" style="14" bestFit="1" customWidth="1"/>
    <col min="783" max="1031" width="10.88671875" style="14"/>
    <col min="1032" max="1032" width="10.44140625" style="14" customWidth="1"/>
    <col min="1033" max="1033" width="13.44140625" style="14" customWidth="1"/>
    <col min="1034" max="1035" width="12.109375" style="14" customWidth="1"/>
    <col min="1036" max="1036" width="19.109375" style="14" customWidth="1"/>
    <col min="1037" max="1037" width="41.6640625" style="14" customWidth="1"/>
    <col min="1038" max="1038" width="29" style="14" bestFit="1" customWidth="1"/>
    <col min="1039" max="1287" width="10.88671875" style="14"/>
    <col min="1288" max="1288" width="10.44140625" style="14" customWidth="1"/>
    <col min="1289" max="1289" width="13.44140625" style="14" customWidth="1"/>
    <col min="1290" max="1291" width="12.109375" style="14" customWidth="1"/>
    <col min="1292" max="1292" width="19.109375" style="14" customWidth="1"/>
    <col min="1293" max="1293" width="41.6640625" style="14" customWidth="1"/>
    <col min="1294" max="1294" width="29" style="14" bestFit="1" customWidth="1"/>
    <col min="1295" max="1543" width="10.88671875" style="14"/>
    <col min="1544" max="1544" width="10.44140625" style="14" customWidth="1"/>
    <col min="1545" max="1545" width="13.44140625" style="14" customWidth="1"/>
    <col min="1546" max="1547" width="12.109375" style="14" customWidth="1"/>
    <col min="1548" max="1548" width="19.109375" style="14" customWidth="1"/>
    <col min="1549" max="1549" width="41.6640625" style="14" customWidth="1"/>
    <col min="1550" max="1550" width="29" style="14" bestFit="1" customWidth="1"/>
    <col min="1551" max="1799" width="10.88671875" style="14"/>
    <col min="1800" max="1800" width="10.44140625" style="14" customWidth="1"/>
    <col min="1801" max="1801" width="13.44140625" style="14" customWidth="1"/>
    <col min="1802" max="1803" width="12.109375" style="14" customWidth="1"/>
    <col min="1804" max="1804" width="19.109375" style="14" customWidth="1"/>
    <col min="1805" max="1805" width="41.6640625" style="14" customWidth="1"/>
    <col min="1806" max="1806" width="29" style="14" bestFit="1" customWidth="1"/>
    <col min="1807" max="2055" width="10.88671875" style="14"/>
    <col min="2056" max="2056" width="10.44140625" style="14" customWidth="1"/>
    <col min="2057" max="2057" width="13.44140625" style="14" customWidth="1"/>
    <col min="2058" max="2059" width="12.109375" style="14" customWidth="1"/>
    <col min="2060" max="2060" width="19.109375" style="14" customWidth="1"/>
    <col min="2061" max="2061" width="41.6640625" style="14" customWidth="1"/>
    <col min="2062" max="2062" width="29" style="14" bestFit="1" customWidth="1"/>
    <col min="2063" max="2311" width="10.88671875" style="14"/>
    <col min="2312" max="2312" width="10.44140625" style="14" customWidth="1"/>
    <col min="2313" max="2313" width="13.44140625" style="14" customWidth="1"/>
    <col min="2314" max="2315" width="12.109375" style="14" customWidth="1"/>
    <col min="2316" max="2316" width="19.109375" style="14" customWidth="1"/>
    <col min="2317" max="2317" width="41.6640625" style="14" customWidth="1"/>
    <col min="2318" max="2318" width="29" style="14" bestFit="1" customWidth="1"/>
    <col min="2319" max="2567" width="10.88671875" style="14"/>
    <col min="2568" max="2568" width="10.44140625" style="14" customWidth="1"/>
    <col min="2569" max="2569" width="13.44140625" style="14" customWidth="1"/>
    <col min="2570" max="2571" width="12.109375" style="14" customWidth="1"/>
    <col min="2572" max="2572" width="19.109375" style="14" customWidth="1"/>
    <col min="2573" max="2573" width="41.6640625" style="14" customWidth="1"/>
    <col min="2574" max="2574" width="29" style="14" bestFit="1" customWidth="1"/>
    <col min="2575" max="2823" width="10.88671875" style="14"/>
    <col min="2824" max="2824" width="10.44140625" style="14" customWidth="1"/>
    <col min="2825" max="2825" width="13.44140625" style="14" customWidth="1"/>
    <col min="2826" max="2827" width="12.109375" style="14" customWidth="1"/>
    <col min="2828" max="2828" width="19.109375" style="14" customWidth="1"/>
    <col min="2829" max="2829" width="41.6640625" style="14" customWidth="1"/>
    <col min="2830" max="2830" width="29" style="14" bestFit="1" customWidth="1"/>
    <col min="2831" max="3079" width="10.88671875" style="14"/>
    <col min="3080" max="3080" width="10.44140625" style="14" customWidth="1"/>
    <col min="3081" max="3081" width="13.44140625" style="14" customWidth="1"/>
    <col min="3082" max="3083" width="12.109375" style="14" customWidth="1"/>
    <col min="3084" max="3084" width="19.109375" style="14" customWidth="1"/>
    <col min="3085" max="3085" width="41.6640625" style="14" customWidth="1"/>
    <col min="3086" max="3086" width="29" style="14" bestFit="1" customWidth="1"/>
    <col min="3087" max="3335" width="10.88671875" style="14"/>
    <col min="3336" max="3336" width="10.44140625" style="14" customWidth="1"/>
    <col min="3337" max="3337" width="13.44140625" style="14" customWidth="1"/>
    <col min="3338" max="3339" width="12.109375" style="14" customWidth="1"/>
    <col min="3340" max="3340" width="19.109375" style="14" customWidth="1"/>
    <col min="3341" max="3341" width="41.6640625" style="14" customWidth="1"/>
    <col min="3342" max="3342" width="29" style="14" bestFit="1" customWidth="1"/>
    <col min="3343" max="3591" width="10.88671875" style="14"/>
    <col min="3592" max="3592" width="10.44140625" style="14" customWidth="1"/>
    <col min="3593" max="3593" width="13.44140625" style="14" customWidth="1"/>
    <col min="3594" max="3595" width="12.109375" style="14" customWidth="1"/>
    <col min="3596" max="3596" width="19.109375" style="14" customWidth="1"/>
    <col min="3597" max="3597" width="41.6640625" style="14" customWidth="1"/>
    <col min="3598" max="3598" width="29" style="14" bestFit="1" customWidth="1"/>
    <col min="3599" max="3847" width="10.88671875" style="14"/>
    <col min="3848" max="3848" width="10.44140625" style="14" customWidth="1"/>
    <col min="3849" max="3849" width="13.44140625" style="14" customWidth="1"/>
    <col min="3850" max="3851" width="12.109375" style="14" customWidth="1"/>
    <col min="3852" max="3852" width="19.109375" style="14" customWidth="1"/>
    <col min="3853" max="3853" width="41.6640625" style="14" customWidth="1"/>
    <col min="3854" max="3854" width="29" style="14" bestFit="1" customWidth="1"/>
    <col min="3855" max="4103" width="10.88671875" style="14"/>
    <col min="4104" max="4104" width="10.44140625" style="14" customWidth="1"/>
    <col min="4105" max="4105" width="13.44140625" style="14" customWidth="1"/>
    <col min="4106" max="4107" width="12.109375" style="14" customWidth="1"/>
    <col min="4108" max="4108" width="19.109375" style="14" customWidth="1"/>
    <col min="4109" max="4109" width="41.6640625" style="14" customWidth="1"/>
    <col min="4110" max="4110" width="29" style="14" bestFit="1" customWidth="1"/>
    <col min="4111" max="4359" width="10.88671875" style="14"/>
    <col min="4360" max="4360" width="10.44140625" style="14" customWidth="1"/>
    <col min="4361" max="4361" width="13.44140625" style="14" customWidth="1"/>
    <col min="4362" max="4363" width="12.109375" style="14" customWidth="1"/>
    <col min="4364" max="4364" width="19.109375" style="14" customWidth="1"/>
    <col min="4365" max="4365" width="41.6640625" style="14" customWidth="1"/>
    <col min="4366" max="4366" width="29" style="14" bestFit="1" customWidth="1"/>
    <col min="4367" max="4615" width="10.88671875" style="14"/>
    <col min="4616" max="4616" width="10.44140625" style="14" customWidth="1"/>
    <col min="4617" max="4617" width="13.44140625" style="14" customWidth="1"/>
    <col min="4618" max="4619" width="12.109375" style="14" customWidth="1"/>
    <col min="4620" max="4620" width="19.109375" style="14" customWidth="1"/>
    <col min="4621" max="4621" width="41.6640625" style="14" customWidth="1"/>
    <col min="4622" max="4622" width="29" style="14" bestFit="1" customWidth="1"/>
    <col min="4623" max="4871" width="10.88671875" style="14"/>
    <col min="4872" max="4872" width="10.44140625" style="14" customWidth="1"/>
    <col min="4873" max="4873" width="13.44140625" style="14" customWidth="1"/>
    <col min="4874" max="4875" width="12.109375" style="14" customWidth="1"/>
    <col min="4876" max="4876" width="19.109375" style="14" customWidth="1"/>
    <col min="4877" max="4877" width="41.6640625" style="14" customWidth="1"/>
    <col min="4878" max="4878" width="29" style="14" bestFit="1" customWidth="1"/>
    <col min="4879" max="5127" width="10.88671875" style="14"/>
    <col min="5128" max="5128" width="10.44140625" style="14" customWidth="1"/>
    <col min="5129" max="5129" width="13.44140625" style="14" customWidth="1"/>
    <col min="5130" max="5131" width="12.109375" style="14" customWidth="1"/>
    <col min="5132" max="5132" width="19.109375" style="14" customWidth="1"/>
    <col min="5133" max="5133" width="41.6640625" style="14" customWidth="1"/>
    <col min="5134" max="5134" width="29" style="14" bestFit="1" customWidth="1"/>
    <col min="5135" max="5383" width="10.88671875" style="14"/>
    <col min="5384" max="5384" width="10.44140625" style="14" customWidth="1"/>
    <col min="5385" max="5385" width="13.44140625" style="14" customWidth="1"/>
    <col min="5386" max="5387" width="12.109375" style="14" customWidth="1"/>
    <col min="5388" max="5388" width="19.109375" style="14" customWidth="1"/>
    <col min="5389" max="5389" width="41.6640625" style="14" customWidth="1"/>
    <col min="5390" max="5390" width="29" style="14" bestFit="1" customWidth="1"/>
    <col min="5391" max="5639" width="10.88671875" style="14"/>
    <col min="5640" max="5640" width="10.44140625" style="14" customWidth="1"/>
    <col min="5641" max="5641" width="13.44140625" style="14" customWidth="1"/>
    <col min="5642" max="5643" width="12.109375" style="14" customWidth="1"/>
    <col min="5644" max="5644" width="19.109375" style="14" customWidth="1"/>
    <col min="5645" max="5645" width="41.6640625" style="14" customWidth="1"/>
    <col min="5646" max="5646" width="29" style="14" bestFit="1" customWidth="1"/>
    <col min="5647" max="5895" width="10.88671875" style="14"/>
    <col min="5896" max="5896" width="10.44140625" style="14" customWidth="1"/>
    <col min="5897" max="5897" width="13.44140625" style="14" customWidth="1"/>
    <col min="5898" max="5899" width="12.109375" style="14" customWidth="1"/>
    <col min="5900" max="5900" width="19.109375" style="14" customWidth="1"/>
    <col min="5901" max="5901" width="41.6640625" style="14" customWidth="1"/>
    <col min="5902" max="5902" width="29" style="14" bestFit="1" customWidth="1"/>
    <col min="5903" max="6151" width="10.88671875" style="14"/>
    <col min="6152" max="6152" width="10.44140625" style="14" customWidth="1"/>
    <col min="6153" max="6153" width="13.44140625" style="14" customWidth="1"/>
    <col min="6154" max="6155" width="12.109375" style="14" customWidth="1"/>
    <col min="6156" max="6156" width="19.109375" style="14" customWidth="1"/>
    <col min="6157" max="6157" width="41.6640625" style="14" customWidth="1"/>
    <col min="6158" max="6158" width="29" style="14" bestFit="1" customWidth="1"/>
    <col min="6159" max="6407" width="10.88671875" style="14"/>
    <col min="6408" max="6408" width="10.44140625" style="14" customWidth="1"/>
    <col min="6409" max="6409" width="13.44140625" style="14" customWidth="1"/>
    <col min="6410" max="6411" width="12.109375" style="14" customWidth="1"/>
    <col min="6412" max="6412" width="19.109375" style="14" customWidth="1"/>
    <col min="6413" max="6413" width="41.6640625" style="14" customWidth="1"/>
    <col min="6414" max="6414" width="29" style="14" bestFit="1" customWidth="1"/>
    <col min="6415" max="6663" width="10.88671875" style="14"/>
    <col min="6664" max="6664" width="10.44140625" style="14" customWidth="1"/>
    <col min="6665" max="6665" width="13.44140625" style="14" customWidth="1"/>
    <col min="6666" max="6667" width="12.109375" style="14" customWidth="1"/>
    <col min="6668" max="6668" width="19.109375" style="14" customWidth="1"/>
    <col min="6669" max="6669" width="41.6640625" style="14" customWidth="1"/>
    <col min="6670" max="6670" width="29" style="14" bestFit="1" customWidth="1"/>
    <col min="6671" max="6919" width="10.88671875" style="14"/>
    <col min="6920" max="6920" width="10.44140625" style="14" customWidth="1"/>
    <col min="6921" max="6921" width="13.44140625" style="14" customWidth="1"/>
    <col min="6922" max="6923" width="12.109375" style="14" customWidth="1"/>
    <col min="6924" max="6924" width="19.109375" style="14" customWidth="1"/>
    <col min="6925" max="6925" width="41.6640625" style="14" customWidth="1"/>
    <col min="6926" max="6926" width="29" style="14" bestFit="1" customWidth="1"/>
    <col min="6927" max="7175" width="10.88671875" style="14"/>
    <col min="7176" max="7176" width="10.44140625" style="14" customWidth="1"/>
    <col min="7177" max="7177" width="13.44140625" style="14" customWidth="1"/>
    <col min="7178" max="7179" width="12.109375" style="14" customWidth="1"/>
    <col min="7180" max="7180" width="19.109375" style="14" customWidth="1"/>
    <col min="7181" max="7181" width="41.6640625" style="14" customWidth="1"/>
    <col min="7182" max="7182" width="29" style="14" bestFit="1" customWidth="1"/>
    <col min="7183" max="7431" width="10.88671875" style="14"/>
    <col min="7432" max="7432" width="10.44140625" style="14" customWidth="1"/>
    <col min="7433" max="7433" width="13.44140625" style="14" customWidth="1"/>
    <col min="7434" max="7435" width="12.109375" style="14" customWidth="1"/>
    <col min="7436" max="7436" width="19.109375" style="14" customWidth="1"/>
    <col min="7437" max="7437" width="41.6640625" style="14" customWidth="1"/>
    <col min="7438" max="7438" width="29" style="14" bestFit="1" customWidth="1"/>
    <col min="7439" max="7687" width="10.88671875" style="14"/>
    <col min="7688" max="7688" width="10.44140625" style="14" customWidth="1"/>
    <col min="7689" max="7689" width="13.44140625" style="14" customWidth="1"/>
    <col min="7690" max="7691" width="12.109375" style="14" customWidth="1"/>
    <col min="7692" max="7692" width="19.109375" style="14" customWidth="1"/>
    <col min="7693" max="7693" width="41.6640625" style="14" customWidth="1"/>
    <col min="7694" max="7694" width="29" style="14" bestFit="1" customWidth="1"/>
    <col min="7695" max="7943" width="10.88671875" style="14"/>
    <col min="7944" max="7944" width="10.44140625" style="14" customWidth="1"/>
    <col min="7945" max="7945" width="13.44140625" style="14" customWidth="1"/>
    <col min="7946" max="7947" width="12.109375" style="14" customWidth="1"/>
    <col min="7948" max="7948" width="19.109375" style="14" customWidth="1"/>
    <col min="7949" max="7949" width="41.6640625" style="14" customWidth="1"/>
    <col min="7950" max="7950" width="29" style="14" bestFit="1" customWidth="1"/>
    <col min="7951" max="8199" width="10.88671875" style="14"/>
    <col min="8200" max="8200" width="10.44140625" style="14" customWidth="1"/>
    <col min="8201" max="8201" width="13.44140625" style="14" customWidth="1"/>
    <col min="8202" max="8203" width="12.109375" style="14" customWidth="1"/>
    <col min="8204" max="8204" width="19.109375" style="14" customWidth="1"/>
    <col min="8205" max="8205" width="41.6640625" style="14" customWidth="1"/>
    <col min="8206" max="8206" width="29" style="14" bestFit="1" customWidth="1"/>
    <col min="8207" max="8455" width="10.88671875" style="14"/>
    <col min="8456" max="8456" width="10.44140625" style="14" customWidth="1"/>
    <col min="8457" max="8457" width="13.44140625" style="14" customWidth="1"/>
    <col min="8458" max="8459" width="12.109375" style="14" customWidth="1"/>
    <col min="8460" max="8460" width="19.109375" style="14" customWidth="1"/>
    <col min="8461" max="8461" width="41.6640625" style="14" customWidth="1"/>
    <col min="8462" max="8462" width="29" style="14" bestFit="1" customWidth="1"/>
    <col min="8463" max="8711" width="10.88671875" style="14"/>
    <col min="8712" max="8712" width="10.44140625" style="14" customWidth="1"/>
    <col min="8713" max="8713" width="13.44140625" style="14" customWidth="1"/>
    <col min="8714" max="8715" width="12.109375" style="14" customWidth="1"/>
    <col min="8716" max="8716" width="19.109375" style="14" customWidth="1"/>
    <col min="8717" max="8717" width="41.6640625" style="14" customWidth="1"/>
    <col min="8718" max="8718" width="29" style="14" bestFit="1" customWidth="1"/>
    <col min="8719" max="8967" width="10.88671875" style="14"/>
    <col min="8968" max="8968" width="10.44140625" style="14" customWidth="1"/>
    <col min="8969" max="8969" width="13.44140625" style="14" customWidth="1"/>
    <col min="8970" max="8971" width="12.109375" style="14" customWidth="1"/>
    <col min="8972" max="8972" width="19.109375" style="14" customWidth="1"/>
    <col min="8973" max="8973" width="41.6640625" style="14" customWidth="1"/>
    <col min="8974" max="8974" width="29" style="14" bestFit="1" customWidth="1"/>
    <col min="8975" max="9223" width="10.88671875" style="14"/>
    <col min="9224" max="9224" width="10.44140625" style="14" customWidth="1"/>
    <col min="9225" max="9225" width="13.44140625" style="14" customWidth="1"/>
    <col min="9226" max="9227" width="12.109375" style="14" customWidth="1"/>
    <col min="9228" max="9228" width="19.109375" style="14" customWidth="1"/>
    <col min="9229" max="9229" width="41.6640625" style="14" customWidth="1"/>
    <col min="9230" max="9230" width="29" style="14" bestFit="1" customWidth="1"/>
    <col min="9231" max="9479" width="10.88671875" style="14"/>
    <col min="9480" max="9480" width="10.44140625" style="14" customWidth="1"/>
    <col min="9481" max="9481" width="13.44140625" style="14" customWidth="1"/>
    <col min="9482" max="9483" width="12.109375" style="14" customWidth="1"/>
    <col min="9484" max="9484" width="19.109375" style="14" customWidth="1"/>
    <col min="9485" max="9485" width="41.6640625" style="14" customWidth="1"/>
    <col min="9486" max="9486" width="29" style="14" bestFit="1" customWidth="1"/>
    <col min="9487" max="9735" width="10.88671875" style="14"/>
    <col min="9736" max="9736" width="10.44140625" style="14" customWidth="1"/>
    <col min="9737" max="9737" width="13.44140625" style="14" customWidth="1"/>
    <col min="9738" max="9739" width="12.109375" style="14" customWidth="1"/>
    <col min="9740" max="9740" width="19.109375" style="14" customWidth="1"/>
    <col min="9741" max="9741" width="41.6640625" style="14" customWidth="1"/>
    <col min="9742" max="9742" width="29" style="14" bestFit="1" customWidth="1"/>
    <col min="9743" max="9991" width="10.88671875" style="14"/>
    <col min="9992" max="9992" width="10.44140625" style="14" customWidth="1"/>
    <col min="9993" max="9993" width="13.44140625" style="14" customWidth="1"/>
    <col min="9994" max="9995" width="12.109375" style="14" customWidth="1"/>
    <col min="9996" max="9996" width="19.109375" style="14" customWidth="1"/>
    <col min="9997" max="9997" width="41.6640625" style="14" customWidth="1"/>
    <col min="9998" max="9998" width="29" style="14" bestFit="1" customWidth="1"/>
    <col min="9999" max="10247" width="10.88671875" style="14"/>
    <col min="10248" max="10248" width="10.44140625" style="14" customWidth="1"/>
    <col min="10249" max="10249" width="13.44140625" style="14" customWidth="1"/>
    <col min="10250" max="10251" width="12.109375" style="14" customWidth="1"/>
    <col min="10252" max="10252" width="19.109375" style="14" customWidth="1"/>
    <col min="10253" max="10253" width="41.6640625" style="14" customWidth="1"/>
    <col min="10254" max="10254" width="29" style="14" bestFit="1" customWidth="1"/>
    <col min="10255" max="10503" width="10.88671875" style="14"/>
    <col min="10504" max="10504" width="10.44140625" style="14" customWidth="1"/>
    <col min="10505" max="10505" width="13.44140625" style="14" customWidth="1"/>
    <col min="10506" max="10507" width="12.109375" style="14" customWidth="1"/>
    <col min="10508" max="10508" width="19.109375" style="14" customWidth="1"/>
    <col min="10509" max="10509" width="41.6640625" style="14" customWidth="1"/>
    <col min="10510" max="10510" width="29" style="14" bestFit="1" customWidth="1"/>
    <col min="10511" max="10759" width="10.88671875" style="14"/>
    <col min="10760" max="10760" width="10.44140625" style="14" customWidth="1"/>
    <col min="10761" max="10761" width="13.44140625" style="14" customWidth="1"/>
    <col min="10762" max="10763" width="12.109375" style="14" customWidth="1"/>
    <col min="10764" max="10764" width="19.109375" style="14" customWidth="1"/>
    <col min="10765" max="10765" width="41.6640625" style="14" customWidth="1"/>
    <col min="10766" max="10766" width="29" style="14" bestFit="1" customWidth="1"/>
    <col min="10767" max="11015" width="10.88671875" style="14"/>
    <col min="11016" max="11016" width="10.44140625" style="14" customWidth="1"/>
    <col min="11017" max="11017" width="13.44140625" style="14" customWidth="1"/>
    <col min="11018" max="11019" width="12.109375" style="14" customWidth="1"/>
    <col min="11020" max="11020" width="19.109375" style="14" customWidth="1"/>
    <col min="11021" max="11021" width="41.6640625" style="14" customWidth="1"/>
    <col min="11022" max="11022" width="29" style="14" bestFit="1" customWidth="1"/>
    <col min="11023" max="11271" width="10.88671875" style="14"/>
    <col min="11272" max="11272" width="10.44140625" style="14" customWidth="1"/>
    <col min="11273" max="11273" width="13.44140625" style="14" customWidth="1"/>
    <col min="11274" max="11275" width="12.109375" style="14" customWidth="1"/>
    <col min="11276" max="11276" width="19.109375" style="14" customWidth="1"/>
    <col min="11277" max="11277" width="41.6640625" style="14" customWidth="1"/>
    <col min="11278" max="11278" width="29" style="14" bestFit="1" customWidth="1"/>
    <col min="11279" max="11527" width="10.88671875" style="14"/>
    <col min="11528" max="11528" width="10.44140625" style="14" customWidth="1"/>
    <col min="11529" max="11529" width="13.44140625" style="14" customWidth="1"/>
    <col min="11530" max="11531" width="12.109375" style="14" customWidth="1"/>
    <col min="11532" max="11532" width="19.109375" style="14" customWidth="1"/>
    <col min="11533" max="11533" width="41.6640625" style="14" customWidth="1"/>
    <col min="11534" max="11534" width="29" style="14" bestFit="1" customWidth="1"/>
    <col min="11535" max="11783" width="10.88671875" style="14"/>
    <col min="11784" max="11784" width="10.44140625" style="14" customWidth="1"/>
    <col min="11785" max="11785" width="13.44140625" style="14" customWidth="1"/>
    <col min="11786" max="11787" width="12.109375" style="14" customWidth="1"/>
    <col min="11788" max="11788" width="19.109375" style="14" customWidth="1"/>
    <col min="11789" max="11789" width="41.6640625" style="14" customWidth="1"/>
    <col min="11790" max="11790" width="29" style="14" bestFit="1" customWidth="1"/>
    <col min="11791" max="12039" width="10.88671875" style="14"/>
    <col min="12040" max="12040" width="10.44140625" style="14" customWidth="1"/>
    <col min="12041" max="12041" width="13.44140625" style="14" customWidth="1"/>
    <col min="12042" max="12043" width="12.109375" style="14" customWidth="1"/>
    <col min="12044" max="12044" width="19.109375" style="14" customWidth="1"/>
    <col min="12045" max="12045" width="41.6640625" style="14" customWidth="1"/>
    <col min="12046" max="12046" width="29" style="14" bestFit="1" customWidth="1"/>
    <col min="12047" max="12295" width="10.88671875" style="14"/>
    <col min="12296" max="12296" width="10.44140625" style="14" customWidth="1"/>
    <col min="12297" max="12297" width="13.44140625" style="14" customWidth="1"/>
    <col min="12298" max="12299" width="12.109375" style="14" customWidth="1"/>
    <col min="12300" max="12300" width="19.109375" style="14" customWidth="1"/>
    <col min="12301" max="12301" width="41.6640625" style="14" customWidth="1"/>
    <col min="12302" max="12302" width="29" style="14" bestFit="1" customWidth="1"/>
    <col min="12303" max="12551" width="10.88671875" style="14"/>
    <col min="12552" max="12552" width="10.44140625" style="14" customWidth="1"/>
    <col min="12553" max="12553" width="13.44140625" style="14" customWidth="1"/>
    <col min="12554" max="12555" width="12.109375" style="14" customWidth="1"/>
    <col min="12556" max="12556" width="19.109375" style="14" customWidth="1"/>
    <col min="12557" max="12557" width="41.6640625" style="14" customWidth="1"/>
    <col min="12558" max="12558" width="29" style="14" bestFit="1" customWidth="1"/>
    <col min="12559" max="12807" width="10.88671875" style="14"/>
    <col min="12808" max="12808" width="10.44140625" style="14" customWidth="1"/>
    <col min="12809" max="12809" width="13.44140625" style="14" customWidth="1"/>
    <col min="12810" max="12811" width="12.109375" style="14" customWidth="1"/>
    <col min="12812" max="12812" width="19.109375" style="14" customWidth="1"/>
    <col min="12813" max="12813" width="41.6640625" style="14" customWidth="1"/>
    <col min="12814" max="12814" width="29" style="14" bestFit="1" customWidth="1"/>
    <col min="12815" max="13063" width="10.88671875" style="14"/>
    <col min="13064" max="13064" width="10.44140625" style="14" customWidth="1"/>
    <col min="13065" max="13065" width="13.44140625" style="14" customWidth="1"/>
    <col min="13066" max="13067" width="12.109375" style="14" customWidth="1"/>
    <col min="13068" max="13068" width="19.109375" style="14" customWidth="1"/>
    <col min="13069" max="13069" width="41.6640625" style="14" customWidth="1"/>
    <col min="13070" max="13070" width="29" style="14" bestFit="1" customWidth="1"/>
    <col min="13071" max="13319" width="10.88671875" style="14"/>
    <col min="13320" max="13320" width="10.44140625" style="14" customWidth="1"/>
    <col min="13321" max="13321" width="13.44140625" style="14" customWidth="1"/>
    <col min="13322" max="13323" width="12.109375" style="14" customWidth="1"/>
    <col min="13324" max="13324" width="19.109375" style="14" customWidth="1"/>
    <col min="13325" max="13325" width="41.6640625" style="14" customWidth="1"/>
    <col min="13326" max="13326" width="29" style="14" bestFit="1" customWidth="1"/>
    <col min="13327" max="13575" width="10.88671875" style="14"/>
    <col min="13576" max="13576" width="10.44140625" style="14" customWidth="1"/>
    <col min="13577" max="13577" width="13.44140625" style="14" customWidth="1"/>
    <col min="13578" max="13579" width="12.109375" style="14" customWidth="1"/>
    <col min="13580" max="13580" width="19.109375" style="14" customWidth="1"/>
    <col min="13581" max="13581" width="41.6640625" style="14" customWidth="1"/>
    <col min="13582" max="13582" width="29" style="14" bestFit="1" customWidth="1"/>
    <col min="13583" max="13831" width="10.88671875" style="14"/>
    <col min="13832" max="13832" width="10.44140625" style="14" customWidth="1"/>
    <col min="13833" max="13833" width="13.44140625" style="14" customWidth="1"/>
    <col min="13834" max="13835" width="12.109375" style="14" customWidth="1"/>
    <col min="13836" max="13836" width="19.109375" style="14" customWidth="1"/>
    <col min="13837" max="13837" width="41.6640625" style="14" customWidth="1"/>
    <col min="13838" max="13838" width="29" style="14" bestFit="1" customWidth="1"/>
    <col min="13839" max="14087" width="10.88671875" style="14"/>
    <col min="14088" max="14088" width="10.44140625" style="14" customWidth="1"/>
    <col min="14089" max="14089" width="13.44140625" style="14" customWidth="1"/>
    <col min="14090" max="14091" width="12.109375" style="14" customWidth="1"/>
    <col min="14092" max="14092" width="19.109375" style="14" customWidth="1"/>
    <col min="14093" max="14093" width="41.6640625" style="14" customWidth="1"/>
    <col min="14094" max="14094" width="29" style="14" bestFit="1" customWidth="1"/>
    <col min="14095" max="14343" width="10.88671875" style="14"/>
    <col min="14344" max="14344" width="10.44140625" style="14" customWidth="1"/>
    <col min="14345" max="14345" width="13.44140625" style="14" customWidth="1"/>
    <col min="14346" max="14347" width="12.109375" style="14" customWidth="1"/>
    <col min="14348" max="14348" width="19.109375" style="14" customWidth="1"/>
    <col min="14349" max="14349" width="41.6640625" style="14" customWidth="1"/>
    <col min="14350" max="14350" width="29" style="14" bestFit="1" customWidth="1"/>
    <col min="14351" max="14599" width="10.88671875" style="14"/>
    <col min="14600" max="14600" width="10.44140625" style="14" customWidth="1"/>
    <col min="14601" max="14601" width="13.44140625" style="14" customWidth="1"/>
    <col min="14602" max="14603" width="12.109375" style="14" customWidth="1"/>
    <col min="14604" max="14604" width="19.109375" style="14" customWidth="1"/>
    <col min="14605" max="14605" width="41.6640625" style="14" customWidth="1"/>
    <col min="14606" max="14606" width="29" style="14" bestFit="1" customWidth="1"/>
    <col min="14607" max="14855" width="10.88671875" style="14"/>
    <col min="14856" max="14856" width="10.44140625" style="14" customWidth="1"/>
    <col min="14857" max="14857" width="13.44140625" style="14" customWidth="1"/>
    <col min="14858" max="14859" width="12.109375" style="14" customWidth="1"/>
    <col min="14860" max="14860" width="19.109375" style="14" customWidth="1"/>
    <col min="14861" max="14861" width="41.6640625" style="14" customWidth="1"/>
    <col min="14862" max="14862" width="29" style="14" bestFit="1" customWidth="1"/>
    <col min="14863" max="15111" width="10.88671875" style="14"/>
    <col min="15112" max="15112" width="10.44140625" style="14" customWidth="1"/>
    <col min="15113" max="15113" width="13.44140625" style="14" customWidth="1"/>
    <col min="15114" max="15115" width="12.109375" style="14" customWidth="1"/>
    <col min="15116" max="15116" width="19.109375" style="14" customWidth="1"/>
    <col min="15117" max="15117" width="41.6640625" style="14" customWidth="1"/>
    <col min="15118" max="15118" width="29" style="14" bestFit="1" customWidth="1"/>
    <col min="15119" max="15367" width="10.88671875" style="14"/>
    <col min="15368" max="15368" width="10.44140625" style="14" customWidth="1"/>
    <col min="15369" max="15369" width="13.44140625" style="14" customWidth="1"/>
    <col min="15370" max="15371" width="12.109375" style="14" customWidth="1"/>
    <col min="15372" max="15372" width="19.109375" style="14" customWidth="1"/>
    <col min="15373" max="15373" width="41.6640625" style="14" customWidth="1"/>
    <col min="15374" max="15374" width="29" style="14" bestFit="1" customWidth="1"/>
    <col min="15375" max="15623" width="10.88671875" style="14"/>
    <col min="15624" max="15624" width="10.44140625" style="14" customWidth="1"/>
    <col min="15625" max="15625" width="13.44140625" style="14" customWidth="1"/>
    <col min="15626" max="15627" width="12.109375" style="14" customWidth="1"/>
    <col min="15628" max="15628" width="19.109375" style="14" customWidth="1"/>
    <col min="15629" max="15629" width="41.6640625" style="14" customWidth="1"/>
    <col min="15630" max="15630" width="29" style="14" bestFit="1" customWidth="1"/>
    <col min="15631" max="15879" width="10.88671875" style="14"/>
    <col min="15880" max="15880" width="10.44140625" style="14" customWidth="1"/>
    <col min="15881" max="15881" width="13.44140625" style="14" customWidth="1"/>
    <col min="15882" max="15883" width="12.109375" style="14" customWidth="1"/>
    <col min="15884" max="15884" width="19.109375" style="14" customWidth="1"/>
    <col min="15885" max="15885" width="41.6640625" style="14" customWidth="1"/>
    <col min="15886" max="15886" width="29" style="14" bestFit="1" customWidth="1"/>
    <col min="15887" max="16135" width="10.88671875" style="14"/>
    <col min="16136" max="16136" width="10.44140625" style="14" customWidth="1"/>
    <col min="16137" max="16137" width="13.44140625" style="14" customWidth="1"/>
    <col min="16138" max="16139" width="12.109375" style="14" customWidth="1"/>
    <col min="16140" max="16140" width="19.109375" style="14" customWidth="1"/>
    <col min="16141" max="16141" width="41.6640625" style="14" customWidth="1"/>
    <col min="16142" max="16142" width="29" style="14" bestFit="1" customWidth="1"/>
    <col min="16143" max="16384" width="10.88671875" style="14"/>
  </cols>
  <sheetData>
    <row r="1" spans="2:32" ht="21.6" customHeight="1" x14ac:dyDescent="0.3">
      <c r="B1" s="242"/>
      <c r="C1" s="243"/>
      <c r="D1" s="244"/>
      <c r="E1" s="251" t="s">
        <v>0</v>
      </c>
      <c r="F1" s="251"/>
      <c r="G1" s="251"/>
      <c r="H1" s="251"/>
      <c r="I1" s="251"/>
      <c r="J1" s="251"/>
      <c r="K1" s="251"/>
      <c r="L1" s="251"/>
      <c r="M1" s="251"/>
      <c r="N1" s="252"/>
      <c r="O1" s="253"/>
    </row>
    <row r="2" spans="2:32" ht="21.6" customHeight="1" x14ac:dyDescent="0.3">
      <c r="B2" s="245"/>
      <c r="C2" s="246"/>
      <c r="D2" s="247"/>
      <c r="E2" s="254"/>
      <c r="F2" s="254"/>
      <c r="G2" s="254"/>
      <c r="H2" s="254"/>
      <c r="I2" s="254"/>
      <c r="J2" s="254"/>
      <c r="K2" s="254"/>
      <c r="L2" s="254"/>
      <c r="M2" s="254"/>
      <c r="N2" s="255"/>
      <c r="O2" s="256"/>
      <c r="R2" s="15"/>
      <c r="S2" s="15"/>
      <c r="T2" s="15"/>
      <c r="U2" s="15"/>
      <c r="V2" s="15"/>
      <c r="W2" s="15"/>
      <c r="X2" s="15"/>
      <c r="Y2" s="15"/>
      <c r="Z2" s="15"/>
      <c r="AA2" s="15"/>
      <c r="AB2" s="15"/>
      <c r="AC2" s="15"/>
      <c r="AD2" s="15"/>
      <c r="AE2" s="15"/>
      <c r="AF2" s="15"/>
    </row>
    <row r="3" spans="2:32" s="65" customFormat="1" ht="21.6" customHeight="1" thickBot="1" x14ac:dyDescent="0.35">
      <c r="B3" s="248"/>
      <c r="C3" s="249"/>
      <c r="D3" s="250"/>
      <c r="E3" s="257" t="s">
        <v>1</v>
      </c>
      <c r="F3" s="257"/>
      <c r="G3" s="260" t="s">
        <v>2</v>
      </c>
      <c r="H3" s="261"/>
      <c r="I3" s="257" t="s">
        <v>3</v>
      </c>
      <c r="J3" s="257"/>
      <c r="K3" s="66" t="s">
        <v>266</v>
      </c>
      <c r="L3" s="257" t="s">
        <v>4</v>
      </c>
      <c r="M3" s="257"/>
      <c r="N3" s="258">
        <v>46007</v>
      </c>
      <c r="O3" s="259"/>
      <c r="R3" s="77"/>
      <c r="S3" s="77"/>
      <c r="T3" s="77"/>
      <c r="U3" s="77"/>
      <c r="V3" s="77"/>
      <c r="W3" s="77"/>
      <c r="X3" s="77"/>
      <c r="Y3" s="77"/>
      <c r="Z3" s="77"/>
      <c r="AA3" s="77"/>
      <c r="AB3" s="77"/>
      <c r="AC3" s="77"/>
      <c r="AD3" s="77"/>
      <c r="AE3" s="77"/>
      <c r="AF3" s="77"/>
    </row>
    <row r="4" spans="2:32" s="65" customFormat="1" ht="18" customHeight="1" thickBot="1" x14ac:dyDescent="0.35">
      <c r="B4" s="214" t="s">
        <v>5</v>
      </c>
      <c r="C4" s="215"/>
      <c r="D4" s="215"/>
      <c r="E4" s="215"/>
      <c r="F4" s="215"/>
      <c r="G4" s="215"/>
      <c r="H4" s="215"/>
      <c r="I4" s="215"/>
      <c r="J4" s="215"/>
      <c r="K4" s="215"/>
      <c r="L4" s="215"/>
      <c r="M4" s="215"/>
      <c r="N4" s="215"/>
      <c r="O4" s="216"/>
      <c r="R4" s="239"/>
      <c r="S4" s="239"/>
      <c r="T4" s="239"/>
      <c r="U4" s="77"/>
      <c r="V4" s="77"/>
      <c r="W4" s="77"/>
      <c r="X4" s="77"/>
      <c r="Y4" s="77"/>
      <c r="Z4" s="77"/>
      <c r="AA4" s="77"/>
      <c r="AB4" s="77"/>
      <c r="AC4" s="77"/>
      <c r="AD4" s="77"/>
      <c r="AE4" s="77"/>
      <c r="AF4" s="77"/>
    </row>
    <row r="5" spans="2:32" s="65" customFormat="1" ht="4.95" customHeight="1" x14ac:dyDescent="0.3">
      <c r="B5" s="68"/>
      <c r="C5" s="69"/>
      <c r="D5" s="69"/>
      <c r="E5" s="69"/>
      <c r="F5" s="69"/>
      <c r="G5" s="69"/>
      <c r="H5" s="69"/>
      <c r="I5" s="69"/>
      <c r="J5" s="69"/>
      <c r="K5" s="69"/>
      <c r="L5" s="70"/>
      <c r="M5" s="70"/>
      <c r="N5" s="70"/>
      <c r="O5" s="71"/>
      <c r="R5" s="77"/>
      <c r="S5" s="77"/>
      <c r="T5" s="77"/>
      <c r="U5" s="77"/>
      <c r="V5" s="77"/>
      <c r="W5" s="77"/>
      <c r="X5" s="77"/>
      <c r="Y5" s="77"/>
      <c r="Z5" s="77"/>
      <c r="AA5" s="77"/>
      <c r="AB5" s="77"/>
      <c r="AC5" s="77"/>
      <c r="AD5" s="77"/>
      <c r="AE5" s="77"/>
      <c r="AF5" s="77"/>
    </row>
    <row r="6" spans="2:32" s="65" customFormat="1" ht="16.2" customHeight="1" x14ac:dyDescent="0.3">
      <c r="B6" s="72"/>
      <c r="C6" s="184" t="s">
        <v>6</v>
      </c>
      <c r="D6" s="184"/>
      <c r="E6" s="190" t="s">
        <v>7</v>
      </c>
      <c r="F6" s="190"/>
      <c r="G6" s="190"/>
      <c r="H6" s="75"/>
      <c r="I6" s="184" t="s">
        <v>8</v>
      </c>
      <c r="J6" s="184"/>
      <c r="K6" s="184"/>
      <c r="L6" s="223"/>
      <c r="M6" s="223"/>
      <c r="N6" s="223"/>
      <c r="O6" s="76"/>
      <c r="R6" s="77"/>
      <c r="S6" s="77"/>
      <c r="T6" s="77"/>
      <c r="U6" s="77"/>
      <c r="V6" s="77"/>
      <c r="W6" s="77"/>
      <c r="X6" s="77"/>
      <c r="Y6" s="77"/>
      <c r="Z6" s="77"/>
      <c r="AA6" s="77"/>
      <c r="AB6" s="77"/>
      <c r="AC6" s="77"/>
      <c r="AD6" s="77"/>
      <c r="AE6" s="77"/>
      <c r="AF6" s="77"/>
    </row>
    <row r="7" spans="2:32" s="65" customFormat="1" ht="4.95" customHeight="1" x14ac:dyDescent="0.3">
      <c r="B7" s="72"/>
      <c r="C7" s="73"/>
      <c r="D7" s="78"/>
      <c r="E7" s="75"/>
      <c r="F7" s="75"/>
      <c r="G7" s="75"/>
      <c r="H7" s="75"/>
      <c r="I7" s="73"/>
      <c r="J7" s="73"/>
      <c r="K7" s="79"/>
      <c r="L7" s="80"/>
      <c r="M7" s="80"/>
      <c r="N7" s="80"/>
      <c r="O7" s="76"/>
      <c r="R7" s="77"/>
      <c r="S7" s="77"/>
      <c r="T7" s="77"/>
      <c r="U7" s="77"/>
      <c r="V7" s="77"/>
      <c r="W7" s="77"/>
      <c r="X7" s="77"/>
      <c r="Y7" s="77"/>
      <c r="Z7" s="77"/>
      <c r="AA7" s="77"/>
      <c r="AB7" s="77"/>
      <c r="AC7" s="77"/>
      <c r="AD7" s="77"/>
      <c r="AE7" s="77"/>
      <c r="AF7" s="77"/>
    </row>
    <row r="8" spans="2:32" s="65" customFormat="1" ht="16.2" customHeight="1" x14ac:dyDescent="0.3">
      <c r="B8" s="72"/>
      <c r="C8" s="184" t="s">
        <v>9</v>
      </c>
      <c r="D8" s="184"/>
      <c r="E8" s="190"/>
      <c r="F8" s="190"/>
      <c r="G8" s="190"/>
      <c r="H8" s="75"/>
      <c r="I8" s="184" t="s">
        <v>10</v>
      </c>
      <c r="J8" s="184"/>
      <c r="K8" s="184"/>
      <c r="L8" s="223"/>
      <c r="M8" s="223"/>
      <c r="N8" s="223"/>
      <c r="O8" s="76"/>
      <c r="R8" s="81" t="s">
        <v>11</v>
      </c>
      <c r="S8" s="77"/>
      <c r="T8" s="77"/>
      <c r="U8" s="77"/>
      <c r="V8" s="77"/>
      <c r="W8" s="77"/>
      <c r="X8" s="77"/>
      <c r="Y8" s="77"/>
      <c r="Z8" s="77"/>
      <c r="AA8" s="77"/>
      <c r="AB8" s="77"/>
      <c r="AC8" s="77"/>
      <c r="AD8" s="77"/>
      <c r="AE8" s="77"/>
      <c r="AF8" s="77"/>
    </row>
    <row r="9" spans="2:32" s="65" customFormat="1" ht="4.95" customHeight="1" x14ac:dyDescent="0.3">
      <c r="B9" s="72"/>
      <c r="C9" s="73"/>
      <c r="D9" s="78"/>
      <c r="E9" s="75"/>
      <c r="F9" s="75"/>
      <c r="G9" s="75"/>
      <c r="H9" s="75"/>
      <c r="I9" s="73"/>
      <c r="J9" s="73"/>
      <c r="K9" s="73"/>
      <c r="L9" s="82"/>
      <c r="M9" s="82"/>
      <c r="N9" s="82"/>
      <c r="O9" s="76"/>
      <c r="R9" s="81" t="s">
        <v>12</v>
      </c>
      <c r="S9" s="77"/>
      <c r="T9" s="77"/>
      <c r="U9" s="77"/>
      <c r="V9" s="77"/>
      <c r="W9" s="77"/>
      <c r="X9" s="77"/>
      <c r="Y9" s="77"/>
      <c r="Z9" s="77"/>
      <c r="AA9" s="77"/>
      <c r="AB9" s="77"/>
      <c r="AC9" s="77"/>
      <c r="AD9" s="77"/>
      <c r="AE9" s="77"/>
      <c r="AF9" s="77"/>
    </row>
    <row r="10" spans="2:32" s="65" customFormat="1" ht="16.2" customHeight="1" x14ac:dyDescent="0.3">
      <c r="B10" s="72"/>
      <c r="C10" s="184" t="s">
        <v>13</v>
      </c>
      <c r="D10" s="184"/>
      <c r="E10" s="183" t="s">
        <v>14</v>
      </c>
      <c r="F10" s="183"/>
      <c r="G10" s="183"/>
      <c r="H10" s="75"/>
      <c r="I10" s="184" t="s">
        <v>15</v>
      </c>
      <c r="J10" s="184"/>
      <c r="K10" s="184"/>
      <c r="L10" s="223"/>
      <c r="M10" s="223"/>
      <c r="N10" s="223"/>
      <c r="O10" s="76"/>
      <c r="R10" s="77"/>
      <c r="S10" s="67"/>
      <c r="T10" s="67"/>
      <c r="U10" s="77"/>
      <c r="V10" s="77"/>
      <c r="W10" s="77"/>
      <c r="X10" s="77"/>
      <c r="Y10" s="77"/>
      <c r="Z10" s="77"/>
      <c r="AA10" s="77"/>
      <c r="AB10" s="77"/>
      <c r="AC10" s="77"/>
      <c r="AD10" s="77"/>
      <c r="AE10" s="77"/>
      <c r="AF10" s="77"/>
    </row>
    <row r="11" spans="2:32" s="65" customFormat="1" ht="4.95" customHeight="1" thickBot="1" x14ac:dyDescent="0.35">
      <c r="B11" s="84"/>
      <c r="C11" s="85"/>
      <c r="D11" s="86"/>
      <c r="E11" s="87"/>
      <c r="F11" s="87"/>
      <c r="G11" s="88"/>
      <c r="H11" s="88"/>
      <c r="I11" s="89"/>
      <c r="J11" s="89"/>
      <c r="K11" s="89"/>
      <c r="L11" s="89"/>
      <c r="M11" s="89"/>
      <c r="N11" s="89"/>
      <c r="O11" s="90"/>
      <c r="R11" s="77"/>
      <c r="S11" s="77"/>
      <c r="T11" s="77"/>
      <c r="U11" s="77"/>
      <c r="V11" s="77"/>
      <c r="W11" s="77"/>
      <c r="X11" s="77"/>
      <c r="Y11" s="77"/>
      <c r="Z11" s="77"/>
      <c r="AA11" s="77"/>
      <c r="AB11" s="77"/>
      <c r="AC11" s="77"/>
      <c r="AD11" s="77"/>
      <c r="AE11" s="77"/>
      <c r="AF11" s="77"/>
    </row>
    <row r="12" spans="2:32" ht="18" customHeight="1" thickBot="1" x14ac:dyDescent="0.35">
      <c r="B12" s="214" t="s">
        <v>16</v>
      </c>
      <c r="C12" s="215"/>
      <c r="D12" s="215"/>
      <c r="E12" s="215"/>
      <c r="F12" s="215"/>
      <c r="G12" s="215"/>
      <c r="H12" s="215"/>
      <c r="I12" s="215"/>
      <c r="J12" s="215"/>
      <c r="K12" s="215"/>
      <c r="L12" s="215"/>
      <c r="M12" s="215"/>
      <c r="N12" s="215"/>
      <c r="O12" s="216"/>
      <c r="P12" s="15"/>
      <c r="R12" s="77"/>
      <c r="S12" s="77"/>
      <c r="T12" s="77"/>
      <c r="U12" s="77"/>
      <c r="V12" s="77"/>
      <c r="W12" s="77"/>
      <c r="X12" s="77"/>
      <c r="Y12" s="77"/>
      <c r="Z12" s="77"/>
      <c r="AA12" s="77"/>
      <c r="AB12" s="77"/>
      <c r="AC12" s="77"/>
      <c r="AD12" s="77"/>
      <c r="AE12" s="77"/>
      <c r="AF12" s="15"/>
    </row>
    <row r="13" spans="2:32" ht="4.95" customHeight="1" x14ac:dyDescent="0.3">
      <c r="B13" s="68"/>
      <c r="C13" s="69"/>
      <c r="D13" s="69"/>
      <c r="E13" s="69"/>
      <c r="F13" s="69"/>
      <c r="G13" s="69"/>
      <c r="H13" s="69"/>
      <c r="I13" s="69"/>
      <c r="J13" s="69"/>
      <c r="K13" s="69"/>
      <c r="L13" s="70"/>
      <c r="M13" s="70"/>
      <c r="N13" s="70"/>
      <c r="O13" s="71"/>
      <c r="P13" s="15"/>
      <c r="R13" s="77"/>
      <c r="S13" s="77"/>
      <c r="T13" s="77"/>
      <c r="U13" s="77"/>
      <c r="V13" s="77"/>
      <c r="W13" s="77"/>
      <c r="X13" s="77"/>
      <c r="Y13" s="77"/>
      <c r="Z13" s="77"/>
      <c r="AA13" s="77"/>
      <c r="AB13" s="77"/>
      <c r="AC13" s="77"/>
      <c r="AD13" s="77"/>
      <c r="AE13" s="77"/>
      <c r="AF13" s="15"/>
    </row>
    <row r="14" spans="2:32" ht="16.2" customHeight="1" x14ac:dyDescent="0.3">
      <c r="B14" s="91"/>
      <c r="C14" s="73" t="s">
        <v>17</v>
      </c>
      <c r="D14" s="190"/>
      <c r="E14" s="190"/>
      <c r="F14" s="190"/>
      <c r="G14" s="73" t="s">
        <v>18</v>
      </c>
      <c r="H14" s="190"/>
      <c r="I14" s="190"/>
      <c r="J14" s="190"/>
      <c r="K14" s="73" t="s">
        <v>19</v>
      </c>
      <c r="L14" s="264"/>
      <c r="M14" s="264"/>
      <c r="N14" s="264"/>
      <c r="O14" s="92"/>
      <c r="P14" s="15"/>
      <c r="R14" s="77"/>
      <c r="S14" s="77"/>
      <c r="T14" s="77"/>
      <c r="U14" s="77"/>
      <c r="V14" s="77"/>
      <c r="W14" s="77"/>
      <c r="X14" s="77"/>
      <c r="Y14" s="77"/>
      <c r="Z14" s="77"/>
      <c r="AA14" s="77"/>
      <c r="AB14" s="77"/>
      <c r="AC14" s="77"/>
      <c r="AD14" s="77"/>
      <c r="AE14" s="77"/>
      <c r="AF14" s="15"/>
    </row>
    <row r="15" spans="2:32" ht="4.95" customHeight="1" thickBot="1" x14ac:dyDescent="0.35">
      <c r="B15" s="84"/>
      <c r="C15" s="85"/>
      <c r="D15" s="86"/>
      <c r="E15" s="87"/>
      <c r="F15" s="87"/>
      <c r="G15" s="88"/>
      <c r="H15" s="88"/>
      <c r="I15" s="89"/>
      <c r="J15" s="89"/>
      <c r="K15" s="89"/>
      <c r="L15" s="89"/>
      <c r="M15" s="89"/>
      <c r="N15" s="89"/>
      <c r="O15" s="90"/>
      <c r="P15" s="15"/>
      <c r="R15" s="77"/>
      <c r="S15" s="77"/>
      <c r="T15" s="77"/>
      <c r="U15" s="77"/>
      <c r="V15" s="77"/>
      <c r="W15" s="77"/>
      <c r="X15" s="77"/>
      <c r="Y15" s="77"/>
      <c r="Z15" s="77"/>
      <c r="AA15" s="77"/>
      <c r="AB15" s="77"/>
      <c r="AC15" s="77"/>
      <c r="AD15" s="77"/>
      <c r="AE15" s="77"/>
      <c r="AF15" s="15"/>
    </row>
    <row r="16" spans="2:32" ht="18" customHeight="1" thickBot="1" x14ac:dyDescent="0.35">
      <c r="B16" s="214" t="s">
        <v>20</v>
      </c>
      <c r="C16" s="215"/>
      <c r="D16" s="215"/>
      <c r="E16" s="215"/>
      <c r="F16" s="215"/>
      <c r="G16" s="215"/>
      <c r="H16" s="215"/>
      <c r="I16" s="215"/>
      <c r="J16" s="215"/>
      <c r="K16" s="215"/>
      <c r="L16" s="215"/>
      <c r="M16" s="215"/>
      <c r="N16" s="215"/>
      <c r="O16" s="216"/>
      <c r="P16" s="15"/>
      <c r="R16" s="77"/>
      <c r="S16" s="77"/>
      <c r="T16" s="77"/>
      <c r="U16" s="77"/>
      <c r="V16" s="77"/>
      <c r="W16" s="77"/>
      <c r="X16" s="77"/>
      <c r="Y16" s="77"/>
      <c r="Z16" s="77"/>
      <c r="AA16" s="77"/>
      <c r="AB16" s="77"/>
      <c r="AC16" s="77"/>
      <c r="AD16" s="77"/>
      <c r="AE16" s="77"/>
      <c r="AF16" s="15"/>
    </row>
    <row r="17" spans="2:32" ht="4.95" customHeight="1" x14ac:dyDescent="0.3">
      <c r="B17" s="68"/>
      <c r="C17" s="69"/>
      <c r="D17" s="69"/>
      <c r="E17" s="69"/>
      <c r="F17" s="69"/>
      <c r="G17" s="69"/>
      <c r="H17" s="69"/>
      <c r="I17" s="69"/>
      <c r="J17" s="69"/>
      <c r="K17" s="69"/>
      <c r="L17" s="70"/>
      <c r="M17" s="70"/>
      <c r="N17" s="70"/>
      <c r="O17" s="71"/>
      <c r="P17" s="15"/>
      <c r="R17" s="77"/>
      <c r="S17" s="77"/>
      <c r="T17" s="77"/>
      <c r="U17" s="77"/>
      <c r="V17" s="77"/>
      <c r="W17" s="77"/>
      <c r="X17" s="77"/>
      <c r="Y17" s="77"/>
      <c r="Z17" s="77"/>
      <c r="AA17" s="77"/>
      <c r="AB17" s="77"/>
      <c r="AC17" s="77"/>
      <c r="AD17" s="77"/>
      <c r="AE17" s="77"/>
      <c r="AF17" s="15"/>
    </row>
    <row r="18" spans="2:32" ht="16.2" customHeight="1" x14ac:dyDescent="0.3">
      <c r="B18" s="93"/>
      <c r="C18" s="73" t="s">
        <v>21</v>
      </c>
      <c r="D18" s="191"/>
      <c r="E18" s="191"/>
      <c r="F18" s="191"/>
      <c r="G18" s="191"/>
      <c r="H18" s="191"/>
      <c r="I18" s="191"/>
      <c r="J18" s="94" t="s">
        <v>22</v>
      </c>
      <c r="K18" s="74"/>
      <c r="L18" s="184" t="s">
        <v>23</v>
      </c>
      <c r="M18" s="184"/>
      <c r="N18" s="95"/>
      <c r="O18" s="96"/>
      <c r="P18" s="15"/>
      <c r="R18" s="77"/>
      <c r="S18" s="77"/>
      <c r="T18" s="77"/>
      <c r="U18" s="77"/>
      <c r="V18" s="77"/>
      <c r="W18" s="77"/>
      <c r="X18" s="77"/>
      <c r="Y18" s="77"/>
      <c r="Z18" s="77"/>
      <c r="AA18" s="77"/>
      <c r="AB18" s="77"/>
      <c r="AC18" s="77"/>
      <c r="AD18" s="77"/>
      <c r="AE18" s="77"/>
      <c r="AF18" s="15"/>
    </row>
    <row r="19" spans="2:32" ht="4.95" customHeight="1" x14ac:dyDescent="0.3">
      <c r="B19" s="93"/>
      <c r="C19" s="97"/>
      <c r="D19" s="97"/>
      <c r="E19" s="97"/>
      <c r="F19" s="97"/>
      <c r="G19" s="97"/>
      <c r="H19" s="97"/>
      <c r="I19" s="97"/>
      <c r="J19" s="97"/>
      <c r="K19" s="97"/>
      <c r="L19" s="98"/>
      <c r="M19" s="98"/>
      <c r="N19" s="98"/>
      <c r="O19" s="96"/>
      <c r="P19" s="15"/>
      <c r="R19" s="77"/>
      <c r="S19" s="77"/>
      <c r="T19" s="77"/>
      <c r="U19" s="77"/>
      <c r="V19" s="77"/>
      <c r="W19" s="77"/>
      <c r="X19" s="77"/>
      <c r="Y19" s="77"/>
      <c r="Z19" s="77"/>
      <c r="AA19" s="77"/>
      <c r="AB19" s="77"/>
      <c r="AC19" s="77"/>
      <c r="AD19" s="77"/>
      <c r="AE19" s="77"/>
      <c r="AF19" s="15"/>
    </row>
    <row r="20" spans="2:32" ht="16.2" customHeight="1" x14ac:dyDescent="0.3">
      <c r="B20" s="91"/>
      <c r="C20" s="73" t="s">
        <v>24</v>
      </c>
      <c r="D20" s="99"/>
      <c r="E20" s="100"/>
      <c r="F20" s="73" t="s">
        <v>25</v>
      </c>
      <c r="G20" s="263"/>
      <c r="H20" s="263"/>
      <c r="I20" s="263"/>
      <c r="J20" s="184" t="s">
        <v>26</v>
      </c>
      <c r="K20" s="184"/>
      <c r="L20" s="190"/>
      <c r="M20" s="190"/>
      <c r="N20" s="190"/>
      <c r="O20" s="101"/>
      <c r="P20" s="15"/>
      <c r="R20" s="77"/>
      <c r="S20" s="77"/>
      <c r="T20" s="77"/>
      <c r="U20" s="77"/>
      <c r="V20" s="77"/>
      <c r="W20" s="77"/>
      <c r="X20" s="77"/>
      <c r="Y20" s="77"/>
      <c r="Z20" s="77"/>
      <c r="AA20" s="77"/>
      <c r="AB20" s="77"/>
      <c r="AC20" s="77"/>
      <c r="AD20" s="77"/>
      <c r="AE20" s="77"/>
      <c r="AF20" s="15"/>
    </row>
    <row r="21" spans="2:32" ht="4.95" customHeight="1" x14ac:dyDescent="0.3">
      <c r="B21" s="102"/>
      <c r="C21" s="79"/>
      <c r="D21" s="100"/>
      <c r="E21" s="100"/>
      <c r="F21" s="79"/>
      <c r="G21" s="100"/>
      <c r="H21" s="100"/>
      <c r="I21" s="100"/>
      <c r="J21" s="79"/>
      <c r="K21" s="79"/>
      <c r="L21" s="103"/>
      <c r="M21" s="104"/>
      <c r="N21" s="104"/>
      <c r="O21" s="105"/>
      <c r="P21" s="15"/>
      <c r="R21" s="77"/>
      <c r="S21" s="77"/>
      <c r="T21" s="77"/>
      <c r="U21" s="77"/>
      <c r="V21" s="77"/>
      <c r="W21" s="77"/>
      <c r="X21" s="77"/>
      <c r="Y21" s="77"/>
      <c r="Z21" s="77"/>
      <c r="AA21" s="77"/>
      <c r="AB21" s="77"/>
      <c r="AC21" s="77"/>
      <c r="AD21" s="77"/>
      <c r="AE21" s="77"/>
      <c r="AF21" s="15"/>
    </row>
    <row r="22" spans="2:32" ht="16.2" customHeight="1" x14ac:dyDescent="0.3">
      <c r="B22" s="91"/>
      <c r="C22" s="73" t="s">
        <v>27</v>
      </c>
      <c r="D22" s="99"/>
      <c r="E22" s="100"/>
      <c r="F22" s="106" t="s">
        <v>28</v>
      </c>
      <c r="G22" s="263"/>
      <c r="H22" s="263"/>
      <c r="I22" s="263"/>
      <c r="J22" s="184" t="s">
        <v>29</v>
      </c>
      <c r="K22" s="184"/>
      <c r="L22" s="240"/>
      <c r="M22" s="240"/>
      <c r="N22" s="107" t="s">
        <v>30</v>
      </c>
      <c r="O22" s="101"/>
      <c r="P22" s="15"/>
      <c r="R22" s="77"/>
      <c r="S22" s="77"/>
      <c r="T22" s="77"/>
      <c r="U22" s="77"/>
      <c r="V22" s="77"/>
      <c r="W22" s="77"/>
      <c r="X22" s="77"/>
      <c r="Y22" s="77"/>
      <c r="Z22" s="77"/>
      <c r="AA22" s="77"/>
      <c r="AB22" s="77"/>
      <c r="AC22" s="77"/>
      <c r="AD22" s="77"/>
      <c r="AE22" s="77"/>
      <c r="AF22" s="15"/>
    </row>
    <row r="23" spans="2:32" ht="4.95" customHeight="1" thickBot="1" x14ac:dyDescent="0.35">
      <c r="B23" s="108"/>
      <c r="C23" s="109"/>
      <c r="D23" s="110"/>
      <c r="E23" s="100"/>
      <c r="F23" s="109"/>
      <c r="G23" s="110"/>
      <c r="H23" s="110"/>
      <c r="I23" s="100"/>
      <c r="J23" s="109"/>
      <c r="K23" s="110"/>
      <c r="L23" s="104"/>
      <c r="M23" s="104"/>
      <c r="N23" s="104"/>
      <c r="O23" s="111"/>
      <c r="P23" s="15"/>
      <c r="R23" s="77"/>
      <c r="S23" s="77"/>
      <c r="T23" s="77"/>
      <c r="U23" s="77"/>
      <c r="V23" s="77"/>
      <c r="W23" s="77"/>
      <c r="X23" s="77"/>
      <c r="Y23" s="77"/>
      <c r="Z23" s="77"/>
      <c r="AA23" s="77"/>
      <c r="AB23" s="77"/>
      <c r="AC23" s="77"/>
      <c r="AD23" s="77"/>
      <c r="AE23" s="77"/>
      <c r="AF23" s="15"/>
    </row>
    <row r="24" spans="2:32" ht="18" customHeight="1" thickBot="1" x14ac:dyDescent="0.35">
      <c r="B24" s="214" t="s">
        <v>31</v>
      </c>
      <c r="C24" s="215"/>
      <c r="D24" s="215"/>
      <c r="E24" s="215"/>
      <c r="F24" s="215"/>
      <c r="G24" s="215"/>
      <c r="H24" s="215"/>
      <c r="I24" s="215"/>
      <c r="J24" s="215"/>
      <c r="K24" s="215"/>
      <c r="L24" s="215"/>
      <c r="M24" s="215"/>
      <c r="N24" s="215"/>
      <c r="O24" s="216"/>
      <c r="P24" s="15"/>
      <c r="R24" s="164"/>
      <c r="S24" s="164"/>
      <c r="T24" s="164"/>
      <c r="U24" s="164"/>
      <c r="V24" s="164"/>
      <c r="W24" s="164"/>
      <c r="X24" s="164"/>
      <c r="Y24" s="164"/>
      <c r="Z24" s="164"/>
      <c r="AA24" s="164"/>
      <c r="AB24" s="164"/>
      <c r="AC24" s="164"/>
      <c r="AD24" s="164"/>
      <c r="AE24" s="77"/>
      <c r="AF24" s="15"/>
    </row>
    <row r="25" spans="2:32" ht="4.95" customHeight="1" x14ac:dyDescent="0.3">
      <c r="B25" s="68"/>
      <c r="C25" s="69"/>
      <c r="D25" s="69"/>
      <c r="E25" s="69"/>
      <c r="F25" s="69"/>
      <c r="G25" s="69"/>
      <c r="H25" s="69"/>
      <c r="I25" s="69"/>
      <c r="J25" s="69"/>
      <c r="K25" s="69"/>
      <c r="L25" s="70"/>
      <c r="M25" s="70"/>
      <c r="N25" s="70"/>
      <c r="O25" s="71"/>
      <c r="P25" s="15"/>
      <c r="R25" s="262"/>
      <c r="S25" s="262"/>
      <c r="T25" s="262"/>
      <c r="U25" s="262"/>
      <c r="V25" s="262"/>
      <c r="W25" s="262"/>
      <c r="X25" s="262"/>
      <c r="Y25" s="147"/>
      <c r="Z25" s="147"/>
      <c r="AA25" s="148"/>
      <c r="AB25" s="148"/>
      <c r="AC25" s="148"/>
      <c r="AD25" s="147"/>
      <c r="AE25" s="77"/>
      <c r="AF25" s="15"/>
    </row>
    <row r="26" spans="2:32" ht="16.2" customHeight="1" x14ac:dyDescent="0.3">
      <c r="B26" s="93"/>
      <c r="C26" s="112" t="s">
        <v>32</v>
      </c>
      <c r="D26" s="112" t="s">
        <v>33</v>
      </c>
      <c r="E26" s="210" t="s">
        <v>34</v>
      </c>
      <c r="F26" s="210"/>
      <c r="G26" s="112" t="s">
        <v>35</v>
      </c>
      <c r="H26" s="210" t="s">
        <v>36</v>
      </c>
      <c r="I26" s="210"/>
      <c r="J26" s="210"/>
      <c r="K26" s="112" t="s">
        <v>37</v>
      </c>
      <c r="L26" s="210" t="s">
        <v>38</v>
      </c>
      <c r="M26" s="210"/>
      <c r="N26" s="112" t="s">
        <v>39</v>
      </c>
      <c r="O26" s="96"/>
      <c r="P26" s="15"/>
      <c r="R26" s="81" t="s">
        <v>33</v>
      </c>
      <c r="S26" s="113" t="s">
        <v>34</v>
      </c>
      <c r="T26" s="113" t="s">
        <v>35</v>
      </c>
      <c r="U26" s="113" t="s">
        <v>40</v>
      </c>
      <c r="V26" s="113" t="s">
        <v>37</v>
      </c>
      <c r="W26" s="113" t="s">
        <v>41</v>
      </c>
      <c r="X26" s="113" t="s">
        <v>42</v>
      </c>
      <c r="Y26" s="147"/>
      <c r="Z26" s="81" t="s">
        <v>33</v>
      </c>
      <c r="AA26" s="113" t="s">
        <v>34</v>
      </c>
      <c r="AB26" s="113" t="s">
        <v>35</v>
      </c>
      <c r="AC26" s="113" t="s">
        <v>40</v>
      </c>
      <c r="AD26" s="113" t="s">
        <v>37</v>
      </c>
      <c r="AE26" s="113" t="s">
        <v>41</v>
      </c>
      <c r="AF26" s="113" t="s">
        <v>42</v>
      </c>
    </row>
    <row r="27" spans="2:32" ht="16.2" customHeight="1" x14ac:dyDescent="0.3">
      <c r="B27" s="93"/>
      <c r="C27" s="114" t="s">
        <v>43</v>
      </c>
      <c r="D27" s="114" t="str">
        <f>IF(G27=T27,R27,IF(G27=T28,R28,IF(G27=T29,R29,R30)))</f>
        <v>WIKA</v>
      </c>
      <c r="E27" s="211" t="str">
        <f>IF(G27=T27,S27,IF(G27=T28,S28,IF(G27=T29,S29,S30)))</f>
        <v>CPG1500</v>
      </c>
      <c r="F27" s="211"/>
      <c r="G27" s="114" t="str">
        <f>IF('DATOS INCERTIDUMBRE'!$G$3="Manómetro Crystal 5k",T28,IF('DATOS INCERTIDUMBRE'!$G$3="Manómetro Crystal 1K",T29,IF('DATOS INCERTIDUMBRE'!$G$3="Manómetro Additel",T27,T30)))</f>
        <v>1A047Q87N2E</v>
      </c>
      <c r="H27" s="211" t="str">
        <f>IF(G27=T27,X27,IF(G27=T28,X28,IF(G27=T29,X29,X30)))</f>
        <v>FLEXILATINA</v>
      </c>
      <c r="I27" s="211"/>
      <c r="J27" s="211"/>
      <c r="K27" s="114" t="str">
        <f>IF(G27=T27,V27,IF(G27=T28,V28,IF(G27=T29,V29,V30)))</f>
        <v>(0 a 1000) psi</v>
      </c>
      <c r="L27" s="267">
        <f>IF(G27=T27,U27,IF(G27=T28,U28,IF(G27=T29,U29,U30)))</f>
        <v>46020</v>
      </c>
      <c r="M27" s="267"/>
      <c r="N27" s="114">
        <f>IF(G27=T27,W27,IF(G27=T28,W28,IF(G27=T29,W29,W30)))</f>
        <v>13418</v>
      </c>
      <c r="O27" s="96"/>
      <c r="P27" s="15"/>
      <c r="R27" s="113" t="s">
        <v>44</v>
      </c>
      <c r="S27" s="113">
        <v>681</v>
      </c>
      <c r="T27" s="113" t="s">
        <v>45</v>
      </c>
      <c r="U27" s="163">
        <v>46006</v>
      </c>
      <c r="V27" s="113" t="s">
        <v>46</v>
      </c>
      <c r="W27" s="113">
        <v>13391</v>
      </c>
      <c r="X27" s="113" t="s">
        <v>60</v>
      </c>
      <c r="Y27" s="147"/>
      <c r="Z27" s="241" t="s">
        <v>47</v>
      </c>
      <c r="AA27" s="241">
        <v>622</v>
      </c>
      <c r="AB27" s="241" t="s">
        <v>48</v>
      </c>
      <c r="AC27" s="115">
        <v>45695</v>
      </c>
      <c r="AD27" s="116" t="s">
        <v>49</v>
      </c>
      <c r="AE27" s="113" t="s">
        <v>50</v>
      </c>
      <c r="AF27" s="113" t="s">
        <v>51</v>
      </c>
    </row>
    <row r="28" spans="2:32" ht="16.2" customHeight="1" x14ac:dyDescent="0.3">
      <c r="B28" s="93"/>
      <c r="C28" s="203" t="s">
        <v>52</v>
      </c>
      <c r="D28" s="203" t="str">
        <f>IF('DATOS INCERTIDUMBRE'!G4="Kex",'CALIBRACIÓN PSV'!Z29,'CALIBRACIÓN PSV'!Z27)</f>
        <v>TESTO</v>
      </c>
      <c r="E28" s="224">
        <f>IF('DATOS INCERTIDUMBRE'!G4="Kex",'CALIBRACIÓN PSV'!AA29,'CALIBRACIÓN PSV'!AA27)</f>
        <v>622</v>
      </c>
      <c r="F28" s="225"/>
      <c r="G28" s="203" t="str">
        <f>IF('DATOS INCERTIDUMBRE'!G4="Kex",'CALIBRACIÓN PSV'!AB29,'CALIBRACIÓN PSV'!AB27)</f>
        <v>39536692/0323</v>
      </c>
      <c r="H28" s="205" t="str">
        <f>IF('DATOS INCERTIDUMBRE'!G4="Kex",'CALIBRACIÓN PSV'!AF29,'CALIBRACIÓN PSV'!AF27)</f>
        <v>VALMET L&amp;M</v>
      </c>
      <c r="I28" s="206"/>
      <c r="J28" s="207"/>
      <c r="K28" s="114" t="str">
        <f>IF('DATOS INCERTIDUMBRE'!G4="Kex",'CALIBRACIÓN PSV'!AD29,'CALIBRACIÓN PSV'!AD27)</f>
        <v>(-20 a 60) °C / (0 a 100) %hr</v>
      </c>
      <c r="L28" s="188">
        <f>IF('DATOS INCERTIDUMBRE'!G4="Kex",'CALIBRACIÓN PSV'!AC29,'CALIBRACIÓN PSV'!AC27)</f>
        <v>45695</v>
      </c>
      <c r="M28" s="189"/>
      <c r="N28" s="114" t="str">
        <f>IF('DATOS INCERTIDUMBRE'!G4="Kex",'CALIBRACIÓN PSV'!AE29,'CALIBRACIÓN PSV'!AE27)</f>
        <v>HR-4914-25 / TE-8606-25</v>
      </c>
      <c r="O28" s="96"/>
      <c r="P28" s="15"/>
      <c r="R28" s="81" t="s">
        <v>53</v>
      </c>
      <c r="S28" s="113" t="s">
        <v>54</v>
      </c>
      <c r="T28" s="113">
        <v>104696</v>
      </c>
      <c r="U28" s="163">
        <v>46006</v>
      </c>
      <c r="V28" s="113" t="s">
        <v>55</v>
      </c>
      <c r="W28" s="113">
        <v>13390</v>
      </c>
      <c r="X28" s="113" t="s">
        <v>60</v>
      </c>
      <c r="Y28" s="147"/>
      <c r="Z28" s="241"/>
      <c r="AA28" s="241"/>
      <c r="AB28" s="241"/>
      <c r="AC28" s="115">
        <v>45793</v>
      </c>
      <c r="AD28" s="117" t="s">
        <v>56</v>
      </c>
      <c r="AE28" s="113" t="s">
        <v>57</v>
      </c>
      <c r="AF28" s="113" t="s">
        <v>58</v>
      </c>
    </row>
    <row r="29" spans="2:32" ht="16.2" customHeight="1" x14ac:dyDescent="0.3">
      <c r="B29" s="93"/>
      <c r="C29" s="204"/>
      <c r="D29" s="204"/>
      <c r="E29" s="226"/>
      <c r="F29" s="227"/>
      <c r="G29" s="204"/>
      <c r="H29" s="212" t="str">
        <f>IF('DATOS INCERTIDUMBRE'!G4="Kex",'CALIBRACIÓN PSV'!AF30,'CALIBRACIÓN PSV'!AF28)</f>
        <v>METROLABOR</v>
      </c>
      <c r="I29" s="212"/>
      <c r="J29" s="212"/>
      <c r="K29" s="118" t="str">
        <f>IF('DATOS INCERTIDUMBRE'!G4="Kex",'CALIBRACIÓN PSV'!AD30,'CALIBRACIÓN PSV'!AD28)</f>
        <v>(300 a 1200) hPa</v>
      </c>
      <c r="L29" s="199">
        <f>IF('DATOS INCERTIDUMBRE'!G4="Kex",'CALIBRACIÓN PSV'!AC30,'CALIBRACIÓN PSV'!AC28)</f>
        <v>45793</v>
      </c>
      <c r="M29" s="199"/>
      <c r="N29" s="118" t="str">
        <f>IF('DATOS INCERTIDUMBRE'!G4="Kex",'CALIBRACIÓN PSV'!AE30,'CALIBRACIÓN PSV'!AE28)</f>
        <v xml:space="preserve"> MET-LP-CC 12662</v>
      </c>
      <c r="O29" s="96"/>
      <c r="P29" s="15"/>
      <c r="R29" s="81" t="s">
        <v>53</v>
      </c>
      <c r="S29" s="113" t="s">
        <v>54</v>
      </c>
      <c r="T29" s="113">
        <v>322944</v>
      </c>
      <c r="U29" s="163">
        <v>45775</v>
      </c>
      <c r="V29" s="113" t="s">
        <v>59</v>
      </c>
      <c r="W29" s="113">
        <v>12652</v>
      </c>
      <c r="X29" s="113" t="s">
        <v>60</v>
      </c>
      <c r="Y29" s="147"/>
      <c r="Z29" s="241" t="s">
        <v>61</v>
      </c>
      <c r="AA29" s="270" t="s">
        <v>62</v>
      </c>
      <c r="AB29" s="270">
        <v>50898</v>
      </c>
      <c r="AC29" s="115">
        <v>45798</v>
      </c>
      <c r="AD29" s="113" t="s">
        <v>63</v>
      </c>
      <c r="AE29" s="113" t="s">
        <v>64</v>
      </c>
      <c r="AF29" s="113" t="s">
        <v>65</v>
      </c>
    </row>
    <row r="30" spans="2:32" ht="4.95" customHeight="1" x14ac:dyDescent="0.3">
      <c r="B30" s="93"/>
      <c r="C30" s="119"/>
      <c r="D30" s="120"/>
      <c r="E30" s="120"/>
      <c r="F30" s="120"/>
      <c r="G30" s="120"/>
      <c r="H30" s="120"/>
      <c r="I30" s="120"/>
      <c r="J30" s="120"/>
      <c r="K30" s="120"/>
      <c r="L30" s="121"/>
      <c r="M30" s="121"/>
      <c r="N30" s="120"/>
      <c r="O30" s="96"/>
      <c r="P30" s="15"/>
      <c r="Q30" s="122"/>
      <c r="R30" s="81" t="s">
        <v>270</v>
      </c>
      <c r="S30" s="113" t="s">
        <v>271</v>
      </c>
      <c r="T30" s="113" t="s">
        <v>272</v>
      </c>
      <c r="U30" s="163">
        <v>46020</v>
      </c>
      <c r="V30" s="113" t="s">
        <v>59</v>
      </c>
      <c r="W30" s="113">
        <v>13418</v>
      </c>
      <c r="X30" s="113" t="s">
        <v>60</v>
      </c>
      <c r="Y30" s="147"/>
      <c r="Z30" s="241"/>
      <c r="AA30" s="270"/>
      <c r="AB30" s="270"/>
      <c r="AC30" s="172">
        <v>45798</v>
      </c>
      <c r="AD30" s="116" t="s">
        <v>66</v>
      </c>
      <c r="AE30" s="113" t="s">
        <v>67</v>
      </c>
      <c r="AF30" s="113" t="s">
        <v>65</v>
      </c>
    </row>
    <row r="31" spans="2:32" ht="16.2" customHeight="1" x14ac:dyDescent="0.3">
      <c r="B31" s="93"/>
      <c r="C31" s="186" t="s">
        <v>68</v>
      </c>
      <c r="D31" s="186"/>
      <c r="E31" s="186"/>
      <c r="F31" s="186"/>
      <c r="G31" s="186"/>
      <c r="H31" s="186"/>
      <c r="I31" s="186"/>
      <c r="J31" s="186"/>
      <c r="K31" s="186"/>
      <c r="L31" s="186"/>
      <c r="M31" s="186"/>
      <c r="N31" s="186"/>
      <c r="O31" s="96"/>
      <c r="P31" s="15"/>
      <c r="R31" s="77"/>
      <c r="S31" s="75"/>
      <c r="T31" s="75"/>
      <c r="U31" s="165"/>
      <c r="V31" s="75"/>
      <c r="W31" s="75"/>
      <c r="X31" s="75"/>
      <c r="Y31" s="147"/>
      <c r="Z31" s="147"/>
      <c r="AA31" s="148"/>
      <c r="AB31" s="148"/>
      <c r="AC31" s="148"/>
      <c r="AD31" s="147"/>
      <c r="AE31" s="77"/>
      <c r="AF31" s="15"/>
    </row>
    <row r="32" spans="2:32" ht="16.2" customHeight="1" x14ac:dyDescent="0.3">
      <c r="B32" s="93"/>
      <c r="C32" s="186"/>
      <c r="D32" s="186"/>
      <c r="E32" s="186"/>
      <c r="F32" s="186"/>
      <c r="G32" s="186"/>
      <c r="H32" s="186"/>
      <c r="I32" s="186"/>
      <c r="J32" s="186"/>
      <c r="K32" s="186"/>
      <c r="L32" s="186"/>
      <c r="M32" s="186"/>
      <c r="N32" s="186"/>
      <c r="O32" s="96"/>
      <c r="P32" s="15"/>
      <c r="R32" s="147"/>
      <c r="S32" s="147"/>
      <c r="T32" s="147"/>
      <c r="U32" s="147"/>
      <c r="V32" s="147"/>
      <c r="W32" s="147"/>
      <c r="X32" s="147"/>
      <c r="Y32" s="147"/>
      <c r="Z32" s="147"/>
      <c r="AA32" s="148"/>
      <c r="AB32" s="148"/>
      <c r="AC32" s="148"/>
      <c r="AD32" s="147"/>
      <c r="AE32" s="77"/>
      <c r="AF32" s="15"/>
    </row>
    <row r="33" spans="2:32" ht="4.95" customHeight="1" thickBot="1" x14ac:dyDescent="0.35">
      <c r="B33" s="123"/>
      <c r="C33" s="89"/>
      <c r="D33" s="89"/>
      <c r="E33" s="89"/>
      <c r="F33" s="89"/>
      <c r="G33" s="89"/>
      <c r="H33" s="89"/>
      <c r="I33" s="89"/>
      <c r="J33" s="89"/>
      <c r="K33" s="89"/>
      <c r="L33" s="124"/>
      <c r="M33" s="124"/>
      <c r="N33" s="124"/>
      <c r="O33" s="90"/>
      <c r="P33" s="15"/>
      <c r="R33" s="113" t="s">
        <v>69</v>
      </c>
      <c r="S33" s="113" t="s">
        <v>70</v>
      </c>
      <c r="T33" s="113" t="s">
        <v>71</v>
      </c>
      <c r="U33" s="15"/>
      <c r="V33" s="15"/>
      <c r="W33" s="77"/>
      <c r="X33" s="77"/>
      <c r="Y33" s="147"/>
      <c r="Z33" s="147"/>
      <c r="AA33" s="148"/>
      <c r="AB33" s="148"/>
      <c r="AC33" s="148"/>
      <c r="AD33" s="147"/>
      <c r="AE33" s="77"/>
      <c r="AF33" s="15"/>
    </row>
    <row r="34" spans="2:32" ht="18" customHeight="1" thickBot="1" x14ac:dyDescent="0.35">
      <c r="B34" s="274" t="s">
        <v>72</v>
      </c>
      <c r="C34" s="275"/>
      <c r="D34" s="275"/>
      <c r="E34" s="275"/>
      <c r="F34" s="275"/>
      <c r="G34" s="275"/>
      <c r="H34" s="275"/>
      <c r="I34" s="275"/>
      <c r="J34" s="275"/>
      <c r="K34" s="275"/>
      <c r="L34" s="275"/>
      <c r="M34" s="275"/>
      <c r="N34" s="275"/>
      <c r="O34" s="276"/>
      <c r="P34" s="15"/>
      <c r="R34" s="113" t="s">
        <v>73</v>
      </c>
      <c r="S34" s="81" t="s">
        <v>74</v>
      </c>
      <c r="T34" s="113" t="s">
        <v>75</v>
      </c>
      <c r="U34" s="15"/>
      <c r="V34" s="15"/>
      <c r="W34" s="77"/>
      <c r="X34" s="77"/>
      <c r="Y34" s="147"/>
      <c r="Z34" s="147"/>
      <c r="AA34" s="148"/>
      <c r="AB34" s="148"/>
      <c r="AC34" s="148"/>
      <c r="AD34" s="147"/>
      <c r="AE34" s="77"/>
      <c r="AF34" s="15"/>
    </row>
    <row r="35" spans="2:32" ht="4.95" customHeight="1" x14ac:dyDescent="0.3">
      <c r="B35" s="125"/>
      <c r="C35" s="126"/>
      <c r="D35" s="126"/>
      <c r="E35" s="126"/>
      <c r="F35" s="126"/>
      <c r="G35" s="126"/>
      <c r="H35" s="126"/>
      <c r="I35" s="126"/>
      <c r="J35" s="126"/>
      <c r="K35" s="126"/>
      <c r="L35" s="126"/>
      <c r="M35" s="126"/>
      <c r="N35" s="126"/>
      <c r="O35" s="127"/>
      <c r="P35" s="15"/>
      <c r="R35" s="113" t="s">
        <v>76</v>
      </c>
      <c r="S35" s="147"/>
      <c r="T35" s="77"/>
      <c r="U35" s="147"/>
      <c r="V35" s="77"/>
      <c r="W35" s="77"/>
      <c r="X35" s="147"/>
      <c r="Y35" s="147"/>
      <c r="Z35" s="147"/>
      <c r="AA35" s="148"/>
      <c r="AB35" s="148"/>
      <c r="AC35" s="148"/>
      <c r="AD35" s="147"/>
      <c r="AE35" s="77"/>
      <c r="AF35" s="15"/>
    </row>
    <row r="36" spans="2:32" ht="16.2" customHeight="1" x14ac:dyDescent="0.3">
      <c r="B36" s="125"/>
      <c r="C36" s="128" t="s">
        <v>77</v>
      </c>
      <c r="D36" s="185"/>
      <c r="E36" s="185"/>
      <c r="F36" s="187" t="s">
        <v>78</v>
      </c>
      <c r="G36" s="187"/>
      <c r="H36" s="185"/>
      <c r="I36" s="185"/>
      <c r="J36" s="185"/>
      <c r="K36" s="65"/>
      <c r="L36" s="187" t="s">
        <v>79</v>
      </c>
      <c r="M36" s="187"/>
      <c r="N36" s="129" t="str">
        <f>IF(AND(H36="ASME I",AND(L22&gt;=15,L22&lt;=70)),S42,IF(AND(H36="ASME I",AND(L22&gt;70,L22&lt;=300)),S43,IF(AND(H36="ASME I",AND(L22&gt;300,L22&lt;=1000)),S44,IF(AND(H36="ASME I",L22&gt;1000),S45,IF(AND(H36="ASME VIII",AND(L22&gt;=15,L22&lt;=70)),U42,IF(AND(H36="ASME VIII",L22&gt;70),U43,"-"))))))</f>
        <v>-</v>
      </c>
      <c r="O36" s="127"/>
      <c r="P36" s="15"/>
      <c r="R36" s="113" t="s">
        <v>80</v>
      </c>
      <c r="S36" s="147"/>
      <c r="T36" s="77"/>
      <c r="U36" s="147"/>
      <c r="V36" s="77"/>
      <c r="W36" s="77"/>
      <c r="X36" s="147"/>
      <c r="Y36" s="147"/>
      <c r="Z36" s="147"/>
      <c r="AA36" s="148"/>
      <c r="AB36" s="148"/>
      <c r="AC36" s="148"/>
      <c r="AD36" s="147"/>
      <c r="AE36" s="77"/>
      <c r="AF36" s="15"/>
    </row>
    <row r="37" spans="2:32" ht="4.95" customHeight="1" x14ac:dyDescent="0.3">
      <c r="B37" s="125"/>
      <c r="C37" s="128"/>
      <c r="D37" s="77"/>
      <c r="E37" s="77"/>
      <c r="F37" s="128"/>
      <c r="G37" s="128"/>
      <c r="H37" s="77"/>
      <c r="I37" s="77"/>
      <c r="J37" s="77"/>
      <c r="K37" s="65"/>
      <c r="L37" s="128"/>
      <c r="M37" s="128"/>
      <c r="N37" s="77"/>
      <c r="O37" s="127"/>
      <c r="P37" s="15"/>
      <c r="R37" s="75"/>
      <c r="S37" s="147"/>
      <c r="T37" s="77"/>
      <c r="U37" s="147"/>
      <c r="V37" s="77"/>
      <c r="W37" s="77"/>
      <c r="X37" s="147"/>
      <c r="Y37" s="147"/>
      <c r="Z37" s="147"/>
      <c r="AA37" s="148"/>
      <c r="AB37" s="148"/>
      <c r="AC37" s="148"/>
      <c r="AD37" s="147"/>
      <c r="AE37" s="77"/>
      <c r="AF37" s="15"/>
    </row>
    <row r="38" spans="2:32" ht="16.2" customHeight="1" x14ac:dyDescent="0.3">
      <c r="B38" s="125"/>
      <c r="C38" s="128" t="s">
        <v>81</v>
      </c>
      <c r="D38" s="185"/>
      <c r="E38" s="185"/>
      <c r="F38" s="187" t="s">
        <v>82</v>
      </c>
      <c r="G38" s="187"/>
      <c r="H38" s="228"/>
      <c r="I38" s="228"/>
      <c r="J38" s="228"/>
      <c r="K38" s="65" t="str">
        <f>N22</f>
        <v>psi</v>
      </c>
      <c r="L38" s="187" t="s">
        <v>83</v>
      </c>
      <c r="M38" s="187"/>
      <c r="N38" s="129"/>
      <c r="O38" s="127"/>
      <c r="P38" s="15"/>
      <c r="R38" s="77"/>
      <c r="S38" s="77"/>
      <c r="T38" s="77"/>
      <c r="U38" s="77"/>
      <c r="V38" s="77"/>
      <c r="W38" s="77"/>
      <c r="X38" s="77"/>
      <c r="Y38" s="77"/>
      <c r="Z38" s="77"/>
      <c r="AA38" s="77"/>
      <c r="AB38" s="77"/>
      <c r="AC38" s="77"/>
      <c r="AD38" s="77"/>
      <c r="AE38" s="77"/>
      <c r="AF38" s="15"/>
    </row>
    <row r="39" spans="2:32" ht="4.95" customHeight="1" thickBot="1" x14ac:dyDescent="0.35">
      <c r="B39" s="130"/>
      <c r="C39" s="131"/>
      <c r="D39" s="131"/>
      <c r="E39" s="131"/>
      <c r="F39" s="132"/>
      <c r="G39" s="131"/>
      <c r="H39" s="131"/>
      <c r="I39" s="133"/>
      <c r="J39" s="133"/>
      <c r="K39" s="133"/>
      <c r="L39" s="133"/>
      <c r="M39" s="133"/>
      <c r="N39" s="133"/>
      <c r="O39" s="134"/>
      <c r="P39" s="15"/>
      <c r="R39" s="164"/>
      <c r="S39" s="164"/>
      <c r="T39" s="164"/>
      <c r="U39" s="164"/>
      <c r="V39" s="164"/>
      <c r="W39" s="164"/>
      <c r="X39" s="164"/>
      <c r="Y39" s="164"/>
      <c r="Z39" s="164"/>
      <c r="AA39" s="164"/>
      <c r="AB39" s="164"/>
      <c r="AC39" s="164"/>
      <c r="AD39" s="164"/>
      <c r="AE39" s="77"/>
      <c r="AF39" s="15"/>
    </row>
    <row r="40" spans="2:32" ht="18" customHeight="1" thickBot="1" x14ac:dyDescent="0.35">
      <c r="B40" s="214" t="s">
        <v>84</v>
      </c>
      <c r="C40" s="215"/>
      <c r="D40" s="215"/>
      <c r="E40" s="215"/>
      <c r="F40" s="215"/>
      <c r="G40" s="215"/>
      <c r="H40" s="215"/>
      <c r="I40" s="215"/>
      <c r="J40" s="215"/>
      <c r="K40" s="215"/>
      <c r="L40" s="215"/>
      <c r="M40" s="215"/>
      <c r="N40" s="215"/>
      <c r="O40" s="216"/>
      <c r="P40" s="15"/>
      <c r="R40" s="241" t="s">
        <v>71</v>
      </c>
      <c r="S40" s="241"/>
      <c r="T40" s="241" t="s">
        <v>75</v>
      </c>
      <c r="U40" s="241"/>
      <c r="V40" s="147"/>
      <c r="W40" s="15"/>
      <c r="X40" s="15"/>
      <c r="Y40" s="147"/>
      <c r="Z40" s="147"/>
      <c r="AA40" s="148"/>
      <c r="AB40" s="148"/>
      <c r="AC40" s="148"/>
      <c r="AD40" s="147"/>
      <c r="AE40" s="77"/>
      <c r="AF40" s="15"/>
    </row>
    <row r="41" spans="2:32" ht="4.95" customHeight="1" x14ac:dyDescent="0.3">
      <c r="B41" s="135"/>
      <c r="C41" s="136"/>
      <c r="D41" s="137"/>
      <c r="E41" s="137"/>
      <c r="F41" s="137"/>
      <c r="G41" s="137"/>
      <c r="H41" s="137"/>
      <c r="I41" s="137"/>
      <c r="J41" s="137"/>
      <c r="K41" s="136"/>
      <c r="L41" s="138"/>
      <c r="M41" s="138"/>
      <c r="N41" s="138"/>
      <c r="O41" s="139"/>
      <c r="P41" s="15"/>
      <c r="R41" s="113" t="s">
        <v>85</v>
      </c>
      <c r="S41" s="113" t="s">
        <v>86</v>
      </c>
      <c r="T41" s="113" t="s">
        <v>85</v>
      </c>
      <c r="U41" s="113" t="s">
        <v>86</v>
      </c>
      <c r="V41" s="67"/>
      <c r="W41" s="15"/>
      <c r="X41" s="15"/>
      <c r="Y41" s="67"/>
      <c r="Z41" s="75"/>
      <c r="AA41" s="167"/>
      <c r="AB41" s="168"/>
      <c r="AC41" s="168"/>
      <c r="AD41" s="167"/>
      <c r="AE41" s="77"/>
      <c r="AF41" s="15"/>
    </row>
    <row r="42" spans="2:32" ht="16.2" customHeight="1" x14ac:dyDescent="0.3">
      <c r="B42" s="140"/>
      <c r="C42" s="15"/>
      <c r="D42" s="15"/>
      <c r="E42" s="15"/>
      <c r="F42" s="265" t="s">
        <v>87</v>
      </c>
      <c r="G42" s="265"/>
      <c r="H42" s="30"/>
      <c r="I42" s="30"/>
      <c r="J42" s="265" t="s">
        <v>88</v>
      </c>
      <c r="K42" s="265"/>
      <c r="L42" s="265" t="s">
        <v>89</v>
      </c>
      <c r="M42" s="265"/>
      <c r="N42" s="30"/>
      <c r="O42" s="141"/>
      <c r="P42" s="15"/>
      <c r="R42" s="113" t="s">
        <v>90</v>
      </c>
      <c r="S42" s="116" t="s">
        <v>91</v>
      </c>
      <c r="T42" s="81" t="s">
        <v>92</v>
      </c>
      <c r="U42" s="116" t="s">
        <v>91</v>
      </c>
      <c r="V42" s="67"/>
      <c r="W42" s="15"/>
      <c r="X42" s="15"/>
      <c r="Y42" s="67"/>
      <c r="Z42" s="75"/>
      <c r="AA42" s="167"/>
      <c r="AB42" s="168"/>
      <c r="AC42" s="168"/>
      <c r="AD42" s="167"/>
      <c r="AE42" s="77"/>
      <c r="AF42" s="15"/>
    </row>
    <row r="43" spans="2:32" ht="16.2" customHeight="1" x14ac:dyDescent="0.3">
      <c r="B43" s="140"/>
      <c r="C43" s="187" t="s">
        <v>93</v>
      </c>
      <c r="D43" s="187"/>
      <c r="E43" s="15"/>
      <c r="F43" s="208">
        <f>'DATOS INCERTIDUMBRE'!C3</f>
        <v>0</v>
      </c>
      <c r="G43" s="208"/>
      <c r="H43" s="15"/>
      <c r="I43" s="15"/>
      <c r="J43" s="208">
        <f>'DATOS INCERTIDUMBRE'!E3</f>
        <v>0</v>
      </c>
      <c r="K43" s="208"/>
      <c r="L43" s="230" t="s">
        <v>94</v>
      </c>
      <c r="M43" s="230"/>
      <c r="N43" s="142"/>
      <c r="O43" s="141"/>
      <c r="P43" s="15"/>
      <c r="R43" s="113" t="s">
        <v>95</v>
      </c>
      <c r="S43" s="143" t="s">
        <v>96</v>
      </c>
      <c r="T43" s="81" t="s">
        <v>97</v>
      </c>
      <c r="U43" s="143" t="s">
        <v>96</v>
      </c>
      <c r="V43" s="67"/>
      <c r="W43" s="15"/>
      <c r="X43" s="15"/>
      <c r="Y43" s="67"/>
      <c r="Z43" s="77"/>
      <c r="AA43" s="77"/>
      <c r="AB43" s="67"/>
      <c r="AC43" s="75"/>
      <c r="AD43" s="77"/>
      <c r="AE43" s="77"/>
      <c r="AF43" s="15"/>
    </row>
    <row r="44" spans="2:32" ht="16.2" customHeight="1" x14ac:dyDescent="0.3">
      <c r="B44" s="125"/>
      <c r="C44" s="184" t="s">
        <v>98</v>
      </c>
      <c r="D44" s="184"/>
      <c r="E44" s="15"/>
      <c r="F44" s="266">
        <f>'DATOS INCERTIDUMBRE'!C5</f>
        <v>0</v>
      </c>
      <c r="G44" s="266"/>
      <c r="H44" s="15"/>
      <c r="I44" s="15"/>
      <c r="J44" s="266">
        <f>'DATOS INCERTIDUMBRE'!E5</f>
        <v>0</v>
      </c>
      <c r="K44" s="266"/>
      <c r="L44" s="230" t="s">
        <v>99</v>
      </c>
      <c r="M44" s="230"/>
      <c r="N44" s="30"/>
      <c r="O44" s="127"/>
      <c r="P44" s="15"/>
      <c r="R44" s="113" t="s">
        <v>100</v>
      </c>
      <c r="S44" s="116" t="s">
        <v>101</v>
      </c>
      <c r="T44" s="15"/>
      <c r="U44" s="15"/>
      <c r="V44" s="67"/>
      <c r="W44" s="77"/>
      <c r="X44" s="77"/>
      <c r="Y44" s="67"/>
      <c r="Z44" s="77"/>
      <c r="AA44" s="77"/>
      <c r="AB44" s="67"/>
      <c r="AC44" s="75"/>
      <c r="AD44" s="77"/>
      <c r="AE44" s="77"/>
      <c r="AF44" s="15"/>
    </row>
    <row r="45" spans="2:32" ht="16.2" customHeight="1" x14ac:dyDescent="0.3">
      <c r="B45" s="125"/>
      <c r="C45" s="184" t="s">
        <v>102</v>
      </c>
      <c r="D45" s="184"/>
      <c r="E45" s="15"/>
      <c r="F45" s="208">
        <f>'DATOS INCERTIDUMBRE'!C4</f>
        <v>0</v>
      </c>
      <c r="G45" s="208"/>
      <c r="H45" s="15"/>
      <c r="I45" s="15"/>
      <c r="J45" s="208">
        <f>'DATOS INCERTIDUMBRE'!E4</f>
        <v>0</v>
      </c>
      <c r="K45" s="208"/>
      <c r="L45" s="288" t="s">
        <v>103</v>
      </c>
      <c r="M45" s="288"/>
      <c r="N45" s="15"/>
      <c r="O45" s="127"/>
      <c r="P45" s="15"/>
      <c r="R45" s="113">
        <v>1000</v>
      </c>
      <c r="S45" s="143" t="s">
        <v>104</v>
      </c>
      <c r="T45" s="15"/>
      <c r="U45" s="15"/>
      <c r="V45" s="67"/>
      <c r="W45" s="77"/>
      <c r="X45" s="77"/>
      <c r="Y45" s="67"/>
      <c r="Z45" s="77"/>
      <c r="AA45" s="77"/>
      <c r="AB45" s="67"/>
      <c r="AC45" s="75"/>
      <c r="AD45" s="77"/>
      <c r="AE45" s="77"/>
      <c r="AF45" s="15"/>
    </row>
    <row r="46" spans="2:32" ht="4.95" customHeight="1" thickBot="1" x14ac:dyDescent="0.35">
      <c r="B46" s="125"/>
      <c r="C46" s="73"/>
      <c r="D46" s="73"/>
      <c r="F46" s="17"/>
      <c r="G46" s="17"/>
      <c r="I46" s="17"/>
      <c r="J46" s="15"/>
      <c r="K46" s="15"/>
      <c r="L46" s="67"/>
      <c r="M46" s="67"/>
      <c r="N46" s="15"/>
      <c r="O46" s="127"/>
      <c r="P46" s="15"/>
      <c r="R46" s="15"/>
      <c r="S46" s="67"/>
      <c r="T46" s="15"/>
      <c r="U46" s="15"/>
      <c r="V46" s="67"/>
      <c r="W46" s="77"/>
      <c r="X46" s="77"/>
      <c r="Y46" s="67"/>
      <c r="Z46" s="77"/>
      <c r="AA46" s="77"/>
      <c r="AB46" s="67"/>
      <c r="AC46" s="75"/>
      <c r="AD46" s="77"/>
      <c r="AE46" s="77"/>
      <c r="AF46" s="15"/>
    </row>
    <row r="47" spans="2:32" ht="18" customHeight="1" thickBot="1" x14ac:dyDescent="0.35">
      <c r="B47" s="285" t="s">
        <v>105</v>
      </c>
      <c r="C47" s="286"/>
      <c r="D47" s="286"/>
      <c r="E47" s="286"/>
      <c r="F47" s="286"/>
      <c r="G47" s="286"/>
      <c r="H47" s="286"/>
      <c r="I47" s="286"/>
      <c r="J47" s="286"/>
      <c r="K47" s="286"/>
      <c r="L47" s="286"/>
      <c r="M47" s="286"/>
      <c r="N47" s="286"/>
      <c r="O47" s="287"/>
      <c r="P47" s="15"/>
      <c r="R47" s="75"/>
      <c r="S47" s="67"/>
      <c r="T47" s="75"/>
      <c r="U47" s="144"/>
      <c r="V47" s="67"/>
      <c r="W47" s="77"/>
      <c r="X47" s="77"/>
      <c r="Y47" s="67"/>
      <c r="Z47" s="77"/>
      <c r="AA47" s="77"/>
      <c r="AB47" s="67"/>
      <c r="AC47" s="75"/>
      <c r="AD47" s="77"/>
      <c r="AE47" s="77"/>
      <c r="AF47" s="15"/>
    </row>
    <row r="48" spans="2:32" ht="4.95" customHeight="1" x14ac:dyDescent="0.3">
      <c r="B48" s="145"/>
      <c r="C48" s="17"/>
      <c r="D48" s="17"/>
      <c r="E48" s="17"/>
      <c r="F48" s="17"/>
      <c r="G48" s="17"/>
      <c r="H48" s="17"/>
      <c r="I48" s="17"/>
      <c r="J48" s="17"/>
      <c r="K48" s="17"/>
      <c r="L48" s="17"/>
      <c r="M48" s="17"/>
      <c r="N48" s="17"/>
      <c r="O48" s="146"/>
      <c r="P48" s="15"/>
      <c r="R48" s="235"/>
      <c r="S48" s="235"/>
      <c r="T48" s="235"/>
      <c r="U48" s="235"/>
      <c r="V48" s="67"/>
      <c r="W48" s="77"/>
      <c r="X48" s="77"/>
      <c r="Y48" s="67"/>
      <c r="Z48" s="77"/>
      <c r="AA48" s="77"/>
      <c r="AB48" s="67"/>
      <c r="AC48" s="75"/>
      <c r="AD48" s="77"/>
      <c r="AE48" s="77"/>
      <c r="AF48" s="15"/>
    </row>
    <row r="49" spans="1:32" ht="16.2" customHeight="1" x14ac:dyDescent="0.3">
      <c r="B49" s="125"/>
      <c r="D49" s="277" t="s">
        <v>106</v>
      </c>
      <c r="E49" s="277"/>
      <c r="F49" s="277"/>
      <c r="G49" s="277" t="s">
        <v>107</v>
      </c>
      <c r="H49" s="277"/>
      <c r="I49" s="278" t="s">
        <v>89</v>
      </c>
      <c r="J49" s="278"/>
      <c r="K49" s="279" t="s">
        <v>108</v>
      </c>
      <c r="L49" s="280"/>
      <c r="M49" s="281"/>
      <c r="N49" s="14"/>
      <c r="O49" s="127"/>
      <c r="P49" s="15"/>
      <c r="R49" s="81" t="s">
        <v>109</v>
      </c>
      <c r="S49" s="113" t="str">
        <f>IF(AND(H36="ASME I",AND(L22&gt;=15,L22&lt;=70)),L22+2,IF(AND(H36="ASME I",AND(L22&gt;70,L22&lt;=300)),L22+(L22*0.03),IF(AND(H36="ASME I",AND(L22&gt;300,L22&lt;=1000)),L22+10,IF(AND(H36="ASME I",L22&gt;1000),L22+(L22*0.01),IF(AND(H36="ASME VIII",AND(L22&gt;=15,L22&lt;=70)),L22+2,IF(AND(H36="ASME VIII",L22&gt;70),L22+(L22*0.03),"-"))))))</f>
        <v>-</v>
      </c>
      <c r="T49" s="271" t="s">
        <v>110</v>
      </c>
      <c r="U49" s="272">
        <f>ABS(ROUND(D50*0.01,1))</f>
        <v>0</v>
      </c>
      <c r="V49" s="67"/>
      <c r="W49" s="77"/>
      <c r="X49" s="15"/>
      <c r="Y49" s="67"/>
      <c r="Z49" s="75"/>
      <c r="AA49" s="75"/>
      <c r="AB49" s="67"/>
      <c r="AC49" s="75"/>
      <c r="AD49" s="77"/>
      <c r="AE49" s="77"/>
      <c r="AF49" s="15"/>
    </row>
    <row r="50" spans="1:32" ht="16.2" customHeight="1" x14ac:dyDescent="0.3">
      <c r="B50" s="125"/>
      <c r="D50" s="213">
        <f>'DATOS INCERTIDUMBRE'!D17</f>
        <v>-1.07056218167401E-3</v>
      </c>
      <c r="E50" s="213"/>
      <c r="F50" s="213"/>
      <c r="G50" s="213">
        <f>+IF(AND(L22&gt;860,'CÁLCULO INCERTIDUMBRE'!I2&lt;0.9),0.9,'CÁLCULO INCERTIDUMBRE'!I2)</f>
        <v>0.18224339680504575</v>
      </c>
      <c r="H50" s="213"/>
      <c r="I50" s="229" t="str">
        <f>N22</f>
        <v>psi</v>
      </c>
      <c r="J50" s="229"/>
      <c r="K50" s="282" t="str">
        <f>IF(AND(D50&lt;=S49,D50&gt;=S50,G50&lt;=U49),"CUMPLE","NO CUMPLE")</f>
        <v>NO CUMPLE</v>
      </c>
      <c r="L50" s="283"/>
      <c r="M50" s="284"/>
      <c r="N50" s="14"/>
      <c r="O50" s="127"/>
      <c r="P50" s="15"/>
      <c r="R50" s="81" t="s">
        <v>111</v>
      </c>
      <c r="S50" s="113" t="str">
        <f>IF(AND(H36="ASME I",AND(L22&gt;=15,L22&lt;=70)),L22-2,IF(AND(H36="ASME I",AND(L22&gt;70,L22&lt;=300)),L22-(L22*0.03),IF(AND(H36="ASME I",AND(L22&gt;300,L22&lt;=1000)),L22-10,IF(AND(H36="ASME I",L22&gt;1000),L22-(L22*0.01),IF(AND(H36="ASME VIII",AND(L22&gt;=15,L22&lt;=70)),L22-2,IF(AND(H36="ASME VIII",L22&gt;70),L22-(L22*0.03),"-"))))))</f>
        <v>-</v>
      </c>
      <c r="T50" s="271"/>
      <c r="U50" s="273"/>
      <c r="V50" s="147"/>
      <c r="W50" s="77"/>
      <c r="X50" s="15"/>
      <c r="Y50" s="147"/>
      <c r="Z50" s="147"/>
      <c r="AA50" s="148"/>
      <c r="AB50" s="148"/>
      <c r="AC50" s="148"/>
      <c r="AD50" s="147"/>
      <c r="AE50" s="77"/>
      <c r="AF50" s="15"/>
    </row>
    <row r="51" spans="1:32" ht="4.95" customHeight="1" x14ac:dyDescent="0.3">
      <c r="B51" s="125"/>
      <c r="L51" s="14"/>
      <c r="M51" s="14"/>
      <c r="N51" s="14"/>
      <c r="O51" s="127"/>
      <c r="P51" s="15"/>
      <c r="R51" s="75"/>
      <c r="S51" s="166"/>
      <c r="T51" s="77"/>
      <c r="U51" s="77"/>
      <c r="V51" s="147"/>
      <c r="W51" s="77"/>
      <c r="X51" s="77"/>
      <c r="Y51" s="147"/>
      <c r="Z51" s="147"/>
      <c r="AA51" s="148"/>
      <c r="AB51" s="148"/>
      <c r="AC51" s="148"/>
      <c r="AD51" s="147"/>
      <c r="AE51" s="77"/>
      <c r="AF51" s="15"/>
    </row>
    <row r="52" spans="1:32" ht="16.2" customHeight="1" x14ac:dyDescent="0.3">
      <c r="B52" s="125"/>
      <c r="C52" s="197" t="str">
        <f>_xlfn.CONCAT("La incertidumbre de medición expandida reportada es evaluada como la incertidumbre estándar de la medida multiplicada por un factor de cobertura k = ",S52,", con una probabilidad de cobertura aproximadamente del 95 %." )</f>
        <v>La incertidumbre de medición expandida reportada es evaluada como la incertidumbre estándar de la medida multiplicada por un factor de cobertura k = 2.03, con una probabilidad de cobertura aproximadamente del 95 %.</v>
      </c>
      <c r="D52" s="197"/>
      <c r="E52" s="197"/>
      <c r="F52" s="197"/>
      <c r="G52" s="197"/>
      <c r="H52" s="197"/>
      <c r="I52" s="197"/>
      <c r="J52" s="197"/>
      <c r="K52" s="197"/>
      <c r="L52" s="197"/>
      <c r="M52" s="197"/>
      <c r="N52" s="197"/>
      <c r="O52" s="127"/>
      <c r="P52" s="15"/>
      <c r="R52" s="170" t="s">
        <v>112</v>
      </c>
      <c r="S52" s="171">
        <f>ROUND(IF('DATOS INCERTIDUMBRE'!G3="Manómetro Crystal 1K",'CÁLCULO INCERTIDUMBRE'!E5,IF('DATOS INCERTIDUMBRE'!G3="Manómetro Crystal 5K",'CÁLCULO INCERTIDUMBRE'!E3,'CÁLCULO INCERTIDUMBRE'!E4)),2)</f>
        <v>2.0299999999999998</v>
      </c>
      <c r="T52" s="77"/>
      <c r="U52" s="77"/>
      <c r="V52" s="147"/>
      <c r="W52" s="77"/>
      <c r="X52" s="77"/>
      <c r="Y52" s="147"/>
      <c r="Z52" s="147"/>
      <c r="AA52" s="148"/>
      <c r="AB52" s="148"/>
      <c r="AC52" s="148"/>
      <c r="AD52" s="147"/>
      <c r="AE52" s="77"/>
      <c r="AF52" s="15"/>
    </row>
    <row r="53" spans="1:32" ht="16.2" customHeight="1" x14ac:dyDescent="0.3">
      <c r="B53" s="125"/>
      <c r="C53" s="197"/>
      <c r="D53" s="197"/>
      <c r="E53" s="197"/>
      <c r="F53" s="197"/>
      <c r="G53" s="197"/>
      <c r="H53" s="197"/>
      <c r="I53" s="197"/>
      <c r="J53" s="197"/>
      <c r="K53" s="197"/>
      <c r="L53" s="197"/>
      <c r="M53" s="197"/>
      <c r="N53" s="197"/>
      <c r="O53" s="127"/>
      <c r="P53" s="15"/>
      <c r="R53" s="75"/>
      <c r="S53" s="166"/>
      <c r="T53" s="77"/>
      <c r="U53" s="77"/>
      <c r="V53" s="147"/>
      <c r="W53" s="77"/>
      <c r="X53" s="77"/>
      <c r="Y53" s="147"/>
      <c r="Z53" s="147"/>
      <c r="AA53" s="148"/>
      <c r="AB53" s="148"/>
      <c r="AC53" s="148"/>
      <c r="AD53" s="147"/>
      <c r="AE53" s="77"/>
      <c r="AF53" s="15"/>
    </row>
    <row r="54" spans="1:32" ht="16.2" customHeight="1" x14ac:dyDescent="0.3">
      <c r="B54" s="125"/>
      <c r="C54" s="197" t="str">
        <f>IF(H36="ASME VIII",_xlfn.CONCAT(T54,R55,T55),_xlfn.CONCAT(T54,R54,T55))</f>
        <v>Los resultados de conformidad aplican para la presión de escape. La presión de escape no debe exceder la especificación establecida en ASME SEC. I parágrafo 72.2 de acuerdo con el set de presión tomado de la placa del fabricante. Adicionalmente, la incertidumbre de medición no debe ser mayor al ±1,0 % del valor medido, conforme a lo establecido en el numeral 1-3 de ASME PTC 25-2023.</v>
      </c>
      <c r="D54" s="197"/>
      <c r="E54" s="197"/>
      <c r="F54" s="197"/>
      <c r="G54" s="197"/>
      <c r="H54" s="197"/>
      <c r="I54" s="197"/>
      <c r="J54" s="197"/>
      <c r="K54" s="197"/>
      <c r="L54" s="197"/>
      <c r="M54" s="197"/>
      <c r="N54" s="197"/>
      <c r="O54" s="127"/>
      <c r="P54" s="15"/>
      <c r="R54" s="159" t="s">
        <v>113</v>
      </c>
      <c r="S54" s="15"/>
      <c r="T54" s="159" t="s">
        <v>114</v>
      </c>
      <c r="U54" s="77"/>
      <c r="V54" s="147"/>
      <c r="W54" s="77"/>
      <c r="X54" s="77"/>
      <c r="Y54" s="147"/>
      <c r="Z54" s="147"/>
      <c r="AA54" s="148"/>
      <c r="AB54" s="148"/>
      <c r="AC54" s="148"/>
      <c r="AD54" s="147"/>
      <c r="AE54" s="77"/>
      <c r="AF54" s="15"/>
    </row>
    <row r="55" spans="1:32" ht="16.2" customHeight="1" x14ac:dyDescent="0.3">
      <c r="B55" s="125"/>
      <c r="C55" s="197"/>
      <c r="D55" s="197"/>
      <c r="E55" s="197"/>
      <c r="F55" s="197"/>
      <c r="G55" s="197"/>
      <c r="H55" s="197"/>
      <c r="I55" s="197"/>
      <c r="J55" s="197"/>
      <c r="K55" s="197"/>
      <c r="L55" s="197"/>
      <c r="M55" s="197"/>
      <c r="N55" s="197"/>
      <c r="O55" s="127"/>
      <c r="P55" s="15"/>
      <c r="R55" s="159" t="s">
        <v>115</v>
      </c>
      <c r="S55" s="77"/>
      <c r="T55" s="159" t="s">
        <v>116</v>
      </c>
      <c r="U55" s="77"/>
      <c r="V55" s="147"/>
      <c r="W55" s="77"/>
      <c r="X55" s="77"/>
      <c r="Y55" s="147"/>
      <c r="Z55" s="147"/>
      <c r="AA55" s="148"/>
      <c r="AB55" s="148"/>
      <c r="AC55" s="148"/>
      <c r="AD55" s="147"/>
      <c r="AE55" s="77"/>
      <c r="AF55" s="15"/>
    </row>
    <row r="56" spans="1:32" ht="16.2" customHeight="1" x14ac:dyDescent="0.3">
      <c r="B56" s="125"/>
      <c r="C56" s="197"/>
      <c r="D56" s="197"/>
      <c r="E56" s="197"/>
      <c r="F56" s="197"/>
      <c r="G56" s="197"/>
      <c r="H56" s="197"/>
      <c r="I56" s="197"/>
      <c r="J56" s="197"/>
      <c r="K56" s="197"/>
      <c r="L56" s="197"/>
      <c r="M56" s="197"/>
      <c r="N56" s="197"/>
      <c r="O56" s="127"/>
      <c r="P56" s="15"/>
      <c r="R56" s="159"/>
      <c r="S56" s="77"/>
      <c r="U56" s="77"/>
      <c r="V56" s="147"/>
      <c r="W56" s="77"/>
      <c r="X56" s="77"/>
      <c r="Y56" s="147"/>
      <c r="Z56" s="147"/>
      <c r="AA56" s="148"/>
      <c r="AB56" s="148"/>
      <c r="AC56" s="148"/>
      <c r="AD56" s="147"/>
      <c r="AE56" s="77"/>
      <c r="AF56" s="15"/>
    </row>
    <row r="57" spans="1:32" ht="4.95" customHeight="1" thickBot="1" x14ac:dyDescent="0.35">
      <c r="B57" s="125"/>
      <c r="C57" s="17"/>
      <c r="D57" s="17"/>
      <c r="E57" s="17"/>
      <c r="F57" s="17"/>
      <c r="G57"/>
      <c r="H57"/>
      <c r="I57" s="149"/>
      <c r="J57" s="17"/>
      <c r="K57" s="17"/>
      <c r="L57" s="17"/>
      <c r="M57" s="17"/>
      <c r="N57" s="17"/>
      <c r="O57" s="127"/>
      <c r="P57" s="15"/>
      <c r="R57" s="77"/>
      <c r="S57" s="77"/>
      <c r="T57" s="159"/>
      <c r="U57" s="77"/>
      <c r="V57" s="77"/>
      <c r="W57" s="77"/>
      <c r="X57" s="77"/>
      <c r="Y57" s="77"/>
      <c r="Z57" s="77"/>
      <c r="AA57" s="77"/>
      <c r="AB57" s="77"/>
      <c r="AC57" s="77"/>
      <c r="AD57" s="77"/>
      <c r="AE57" s="77"/>
      <c r="AF57" s="15"/>
    </row>
    <row r="58" spans="1:32" ht="18" customHeight="1" thickBot="1" x14ac:dyDescent="0.35">
      <c r="B58" s="214" t="s">
        <v>117</v>
      </c>
      <c r="C58" s="215"/>
      <c r="D58" s="215"/>
      <c r="E58" s="215"/>
      <c r="F58" s="215"/>
      <c r="G58" s="215"/>
      <c r="H58" s="216"/>
      <c r="I58" s="214" t="s">
        <v>118</v>
      </c>
      <c r="J58" s="215"/>
      <c r="K58" s="215"/>
      <c r="L58" s="215"/>
      <c r="M58" s="215"/>
      <c r="N58" s="215"/>
      <c r="O58" s="216"/>
      <c r="P58" s="15"/>
      <c r="R58" s="15"/>
      <c r="S58" s="77"/>
      <c r="T58" s="15"/>
      <c r="U58" s="77"/>
      <c r="V58" s="77"/>
      <c r="W58" s="77"/>
      <c r="X58" s="77"/>
      <c r="Y58" s="77"/>
      <c r="Z58" s="77"/>
      <c r="AA58" s="77"/>
      <c r="AB58" s="77"/>
      <c r="AC58" s="77"/>
      <c r="AD58" s="77"/>
      <c r="AE58" s="77"/>
      <c r="AF58" s="15"/>
    </row>
    <row r="59" spans="1:32" ht="168.6" customHeight="1" thickBot="1" x14ac:dyDescent="0.35">
      <c r="B59" s="217"/>
      <c r="C59" s="218"/>
      <c r="D59" s="218"/>
      <c r="E59" s="218"/>
      <c r="F59" s="218"/>
      <c r="G59" s="218"/>
      <c r="H59" s="219"/>
      <c r="I59" s="217"/>
      <c r="J59" s="218"/>
      <c r="K59" s="218"/>
      <c r="L59" s="218"/>
      <c r="M59" s="218"/>
      <c r="N59" s="218"/>
      <c r="O59" s="219"/>
      <c r="P59" s="15"/>
      <c r="R59" s="169"/>
      <c r="S59" s="77"/>
      <c r="T59" s="169"/>
      <c r="U59" s="77"/>
      <c r="V59" s="77"/>
      <c r="W59" s="77"/>
      <c r="X59" s="77"/>
      <c r="Y59" s="77"/>
      <c r="Z59" s="77"/>
      <c r="AA59" s="77"/>
      <c r="AB59" s="77"/>
      <c r="AC59" s="77"/>
      <c r="AD59" s="77"/>
      <c r="AE59" s="77"/>
      <c r="AF59" s="15"/>
    </row>
    <row r="60" spans="1:32" ht="130.94999999999999" customHeight="1" x14ac:dyDescent="0.3">
      <c r="A60" s="97"/>
      <c r="B60" s="220" t="s">
        <v>119</v>
      </c>
      <c r="C60" s="221"/>
      <c r="D60" s="221"/>
      <c r="E60" s="221"/>
      <c r="F60" s="221"/>
      <c r="G60" s="221"/>
      <c r="H60" s="221"/>
      <c r="I60" s="221"/>
      <c r="J60" s="221"/>
      <c r="K60" s="221"/>
      <c r="L60" s="221"/>
      <c r="M60" s="221"/>
      <c r="N60" s="221"/>
      <c r="O60" s="222"/>
      <c r="P60" s="15"/>
      <c r="R60" s="77"/>
      <c r="S60" s="174" t="s">
        <v>120</v>
      </c>
      <c r="T60" s="174" t="s">
        <v>121</v>
      </c>
      <c r="V60" s="174"/>
      <c r="W60" s="174"/>
      <c r="X60" s="77"/>
      <c r="Y60" s="77"/>
      <c r="Z60" s="77"/>
      <c r="AA60" s="77"/>
      <c r="AB60" s="77"/>
      <c r="AC60" s="77"/>
      <c r="AD60" s="77"/>
      <c r="AE60" s="77"/>
      <c r="AF60" s="15"/>
    </row>
    <row r="61" spans="1:32" ht="26.4" customHeight="1" x14ac:dyDescent="0.3">
      <c r="A61" s="97"/>
      <c r="B61" s="200" t="s">
        <v>120</v>
      </c>
      <c r="C61" s="201"/>
      <c r="D61" s="201"/>
      <c r="E61" s="201"/>
      <c r="F61" s="201"/>
      <c r="G61" s="201"/>
      <c r="H61" s="201"/>
      <c r="I61" s="201"/>
      <c r="J61" s="201"/>
      <c r="K61" s="201"/>
      <c r="L61" s="201"/>
      <c r="M61" s="201"/>
      <c r="N61" s="201"/>
      <c r="O61" s="202"/>
      <c r="P61" s="268" t="s">
        <v>122</v>
      </c>
      <c r="Q61" s="269"/>
      <c r="R61" s="269"/>
      <c r="S61" s="77"/>
      <c r="T61" s="77"/>
      <c r="U61" s="77"/>
      <c r="V61" s="77"/>
      <c r="W61" s="77"/>
      <c r="X61" s="77"/>
      <c r="Y61" s="77"/>
      <c r="Z61" s="77"/>
      <c r="AA61" s="77"/>
      <c r="AB61" s="77"/>
      <c r="AC61" s="77"/>
      <c r="AD61" s="77"/>
      <c r="AE61" s="77"/>
      <c r="AF61" s="15"/>
    </row>
    <row r="62" spans="1:32" ht="15.6" customHeight="1" thickBot="1" x14ac:dyDescent="0.35">
      <c r="B62" s="192"/>
      <c r="C62" s="193"/>
      <c r="D62" s="193"/>
      <c r="E62" s="193"/>
      <c r="F62" s="193"/>
      <c r="G62" s="193"/>
      <c r="H62" s="193"/>
      <c r="I62" s="193"/>
      <c r="J62" s="193"/>
      <c r="K62" s="193"/>
      <c r="L62" s="193"/>
      <c r="M62" s="193"/>
      <c r="N62" s="193"/>
      <c r="O62" s="194"/>
      <c r="P62" s="15"/>
      <c r="R62" s="77"/>
      <c r="S62" s="77"/>
      <c r="T62" s="77"/>
      <c r="U62" s="77"/>
      <c r="V62" s="77"/>
      <c r="W62" s="77"/>
      <c r="X62" s="77"/>
      <c r="Y62" s="77"/>
      <c r="Z62" s="77"/>
      <c r="AA62" s="77"/>
      <c r="AB62" s="77"/>
      <c r="AC62" s="77"/>
      <c r="AD62" s="77"/>
      <c r="AE62" s="77"/>
      <c r="AF62" s="15"/>
    </row>
    <row r="63" spans="1:32" ht="27" customHeight="1" x14ac:dyDescent="0.3">
      <c r="B63" s="68"/>
      <c r="C63" s="69"/>
      <c r="D63" s="69"/>
      <c r="E63" s="69"/>
      <c r="F63" s="69"/>
      <c r="G63" s="69"/>
      <c r="H63" s="69"/>
      <c r="I63" s="69"/>
      <c r="J63" s="69"/>
      <c r="K63" s="69"/>
      <c r="L63" s="70"/>
      <c r="M63" s="70"/>
      <c r="N63" s="70"/>
      <c r="O63" s="71"/>
      <c r="P63" s="15"/>
      <c r="R63" s="81" t="s">
        <v>123</v>
      </c>
      <c r="S63" s="77"/>
      <c r="T63" s="77"/>
      <c r="U63" s="77"/>
      <c r="V63" s="77"/>
      <c r="W63" s="77"/>
      <c r="X63" s="77"/>
      <c r="Y63" s="77"/>
      <c r="Z63" s="77"/>
      <c r="AA63" s="77"/>
      <c r="AB63" s="77"/>
      <c r="AC63" s="77"/>
      <c r="AD63" s="77"/>
      <c r="AE63" s="77"/>
      <c r="AF63" s="15"/>
    </row>
    <row r="64" spans="1:32" ht="15.6" customHeight="1" x14ac:dyDescent="0.3">
      <c r="B64" s="195"/>
      <c r="C64" s="196"/>
      <c r="D64" s="196"/>
      <c r="E64" s="196"/>
      <c r="F64" s="196"/>
      <c r="G64" s="196"/>
      <c r="H64" s="110"/>
      <c r="I64" s="196"/>
      <c r="J64" s="196"/>
      <c r="K64" s="196"/>
      <c r="L64" s="196"/>
      <c r="M64" s="196"/>
      <c r="N64" s="196"/>
      <c r="O64" s="198"/>
      <c r="P64" s="15"/>
      <c r="R64" s="81" t="s">
        <v>124</v>
      </c>
      <c r="S64" s="77"/>
      <c r="T64" s="77"/>
      <c r="U64" s="77"/>
      <c r="V64" s="77"/>
      <c r="W64" s="77"/>
      <c r="X64" s="77"/>
      <c r="Y64" s="77"/>
      <c r="Z64" s="77"/>
      <c r="AA64" s="77"/>
      <c r="AB64" s="77"/>
      <c r="AC64" s="77"/>
      <c r="AD64" s="77"/>
      <c r="AE64" s="77"/>
      <c r="AF64" s="15"/>
    </row>
    <row r="65" spans="2:32" ht="23.4" customHeight="1" x14ac:dyDescent="0.3">
      <c r="B65" s="150"/>
      <c r="C65" s="83"/>
      <c r="D65" s="83"/>
      <c r="E65" s="83"/>
      <c r="F65" s="100"/>
      <c r="G65" s="100"/>
      <c r="H65" s="100"/>
      <c r="I65" s="100"/>
      <c r="J65" s="100"/>
      <c r="K65" s="100"/>
      <c r="L65" s="151"/>
      <c r="M65" s="151"/>
      <c r="N65" s="151"/>
      <c r="O65" s="105"/>
      <c r="P65" s="15"/>
      <c r="R65" s="81" t="s">
        <v>125</v>
      </c>
      <c r="S65" s="77"/>
      <c r="T65" s="77"/>
      <c r="U65" s="77"/>
      <c r="V65" s="77"/>
      <c r="W65" s="77"/>
      <c r="X65" s="77"/>
      <c r="Y65" s="77"/>
      <c r="Z65" s="77"/>
      <c r="AA65" s="77"/>
      <c r="AB65" s="77"/>
      <c r="AC65" s="77"/>
      <c r="AD65" s="77"/>
      <c r="AE65" s="77"/>
      <c r="AF65" s="15"/>
    </row>
    <row r="66" spans="2:32" ht="16.2" customHeight="1" x14ac:dyDescent="0.3">
      <c r="B66" s="152"/>
      <c r="C66" s="231" t="s">
        <v>125</v>
      </c>
      <c r="D66" s="231"/>
      <c r="E66" s="231"/>
      <c r="F66" s="153"/>
      <c r="G66" s="231" t="s">
        <v>126</v>
      </c>
      <c r="H66" s="231"/>
      <c r="I66" s="231"/>
      <c r="J66" s="231"/>
      <c r="K66" s="153"/>
      <c r="L66" s="231" t="s">
        <v>127</v>
      </c>
      <c r="M66" s="231"/>
      <c r="N66" s="231"/>
      <c r="O66" s="154"/>
      <c r="P66" s="15"/>
      <c r="R66" s="81" t="s">
        <v>128</v>
      </c>
      <c r="S66" s="77"/>
      <c r="T66" s="77"/>
      <c r="U66" s="77"/>
      <c r="V66" s="77"/>
      <c r="W66" s="77"/>
      <c r="X66" s="77"/>
      <c r="Y66" s="77"/>
      <c r="Z66" s="77"/>
      <c r="AA66" s="77"/>
      <c r="AB66" s="77"/>
      <c r="AC66" s="77"/>
      <c r="AD66" s="77"/>
      <c r="AE66" s="77"/>
      <c r="AF66" s="15"/>
    </row>
    <row r="67" spans="2:32" ht="16.2" customHeight="1" thickBot="1" x14ac:dyDescent="0.35">
      <c r="B67" s="162"/>
      <c r="C67" s="182" t="s">
        <v>129</v>
      </c>
      <c r="D67" s="182"/>
      <c r="E67" s="182"/>
      <c r="F67" s="155"/>
      <c r="G67" s="182" t="s">
        <v>130</v>
      </c>
      <c r="H67" s="182"/>
      <c r="I67" s="182"/>
      <c r="J67" s="182"/>
      <c r="K67" s="155"/>
      <c r="L67" s="238" t="s">
        <v>131</v>
      </c>
      <c r="M67" s="238"/>
      <c r="N67" s="238"/>
      <c r="O67" s="161"/>
      <c r="P67" s="15"/>
      <c r="R67" s="81" t="s">
        <v>126</v>
      </c>
      <c r="S67" s="77"/>
      <c r="T67" s="77"/>
      <c r="U67" s="77"/>
      <c r="V67" s="77"/>
      <c r="W67" s="77"/>
      <c r="X67" s="77"/>
      <c r="Y67" s="77"/>
      <c r="Z67" s="77"/>
      <c r="AA67" s="77"/>
      <c r="AB67" s="77"/>
      <c r="AC67" s="77"/>
      <c r="AD67" s="77"/>
      <c r="AE67" s="77"/>
      <c r="AF67" s="15"/>
    </row>
    <row r="68" spans="2:32" ht="16.2" customHeight="1" x14ac:dyDescent="0.3">
      <c r="B68" s="236" t="s">
        <v>132</v>
      </c>
      <c r="C68" s="236"/>
      <c r="D68" s="236"/>
      <c r="E68" s="236"/>
      <c r="F68" s="236"/>
      <c r="G68" s="236"/>
      <c r="H68" s="236"/>
      <c r="I68" s="236"/>
      <c r="J68" s="236"/>
      <c r="K68" s="236"/>
      <c r="L68" s="236"/>
      <c r="M68" s="236"/>
      <c r="N68" s="236"/>
      <c r="O68" s="236"/>
      <c r="P68" s="15"/>
      <c r="R68" s="81" t="s">
        <v>127</v>
      </c>
      <c r="S68" s="77"/>
      <c r="T68" s="77"/>
      <c r="U68" s="77"/>
      <c r="V68" s="77"/>
      <c r="W68" s="77"/>
      <c r="X68" s="77"/>
      <c r="Y68" s="77"/>
      <c r="Z68" s="77"/>
      <c r="AA68" s="77"/>
      <c r="AB68" s="77"/>
      <c r="AC68" s="77"/>
      <c r="AD68" s="77"/>
      <c r="AE68" s="77"/>
      <c r="AF68" s="15"/>
    </row>
    <row r="69" spans="2:32" ht="16.2" customHeight="1" x14ac:dyDescent="0.3">
      <c r="B69" s="237"/>
      <c r="C69" s="237"/>
      <c r="D69" s="237"/>
      <c r="E69" s="237"/>
      <c r="F69" s="237"/>
      <c r="G69" s="237"/>
      <c r="H69" s="237"/>
      <c r="I69" s="237"/>
      <c r="J69" s="237"/>
      <c r="K69" s="237"/>
      <c r="L69" s="237"/>
      <c r="M69" s="237"/>
      <c r="N69" s="237"/>
      <c r="O69" s="237"/>
      <c r="P69" s="15"/>
      <c r="R69" s="81" t="s">
        <v>133</v>
      </c>
      <c r="S69" s="77"/>
      <c r="T69" s="77"/>
      <c r="U69" s="77"/>
      <c r="V69" s="77"/>
      <c r="W69" s="77"/>
      <c r="X69" s="77"/>
      <c r="Y69" s="77"/>
      <c r="Z69" s="77"/>
      <c r="AA69" s="77"/>
      <c r="AB69" s="77"/>
      <c r="AC69" s="77"/>
      <c r="AD69" s="77"/>
      <c r="AE69" s="77"/>
      <c r="AF69" s="15"/>
    </row>
    <row r="70" spans="2:32" x14ac:dyDescent="0.3">
      <c r="B70" s="15"/>
      <c r="C70" s="15"/>
      <c r="D70" s="15"/>
      <c r="E70" s="15"/>
      <c r="K70" s="235"/>
      <c r="L70" s="235"/>
      <c r="M70" s="235"/>
      <c r="N70" s="235"/>
      <c r="O70" s="235"/>
      <c r="P70" s="15"/>
      <c r="R70" s="81" t="s">
        <v>134</v>
      </c>
      <c r="S70" s="77"/>
      <c r="T70" s="77"/>
      <c r="U70" s="77"/>
      <c r="V70" s="77"/>
      <c r="W70" s="77"/>
      <c r="X70" s="77"/>
      <c r="Y70" s="77"/>
      <c r="Z70" s="77"/>
      <c r="AA70" s="77"/>
      <c r="AB70" s="77"/>
      <c r="AC70" s="77"/>
      <c r="AD70" s="77"/>
      <c r="AE70" s="77"/>
      <c r="AF70" s="15"/>
    </row>
    <row r="71" spans="2:32" x14ac:dyDescent="0.3">
      <c r="B71" s="15"/>
      <c r="C71" s="15"/>
      <c r="D71" s="15"/>
      <c r="E71" s="15"/>
      <c r="K71" s="230"/>
      <c r="L71" s="230"/>
      <c r="M71" s="230"/>
      <c r="N71" s="230"/>
      <c r="O71" s="230"/>
      <c r="P71" s="15"/>
    </row>
    <row r="72" spans="2:32" x14ac:dyDescent="0.3">
      <c r="B72" s="15"/>
      <c r="C72" s="15"/>
      <c r="D72" s="15"/>
      <c r="E72" s="15"/>
      <c r="F72" s="234"/>
      <c r="G72" s="234"/>
      <c r="H72" s="234"/>
      <c r="I72" s="234"/>
      <c r="J72" s="156"/>
      <c r="K72" s="230"/>
      <c r="L72" s="230"/>
      <c r="M72" s="230"/>
      <c r="N72" s="230"/>
      <c r="O72" s="230"/>
      <c r="P72" s="15"/>
    </row>
    <row r="73" spans="2:32" x14ac:dyDescent="0.3">
      <c r="B73" s="15"/>
      <c r="C73" s="15"/>
      <c r="D73" s="15"/>
      <c r="E73" s="15"/>
      <c r="F73" s="234"/>
      <c r="G73" s="234"/>
      <c r="H73" s="234"/>
      <c r="I73" s="234"/>
      <c r="J73" s="156"/>
      <c r="K73" s="230"/>
      <c r="L73" s="230"/>
      <c r="M73" s="230"/>
      <c r="N73" s="230"/>
      <c r="O73" s="230"/>
      <c r="P73" s="15"/>
    </row>
    <row r="74" spans="2:32" x14ac:dyDescent="0.3">
      <c r="B74" s="15"/>
      <c r="C74" s="15"/>
      <c r="D74" s="15"/>
      <c r="E74" s="15"/>
      <c r="F74" s="230"/>
      <c r="G74" s="230"/>
      <c r="H74" s="15"/>
      <c r="I74" s="230"/>
      <c r="J74" s="230"/>
      <c r="K74" s="230"/>
      <c r="L74" s="230"/>
      <c r="M74" s="15"/>
      <c r="N74" s="15"/>
      <c r="O74" s="15"/>
      <c r="P74" s="15"/>
    </row>
    <row r="75" spans="2:32" x14ac:dyDescent="0.3">
      <c r="B75" s="157"/>
      <c r="C75" s="157"/>
      <c r="D75" s="232"/>
      <c r="E75" s="232"/>
      <c r="F75" s="232"/>
      <c r="G75" s="232"/>
      <c r="H75" s="232"/>
      <c r="I75" s="232"/>
      <c r="J75" s="232"/>
      <c r="K75" s="232"/>
      <c r="L75" s="232"/>
      <c r="M75" s="232"/>
      <c r="N75" s="232"/>
      <c r="O75" s="232"/>
      <c r="P75" s="15"/>
    </row>
    <row r="76" spans="2:32" x14ac:dyDescent="0.3">
      <c r="D76" s="233"/>
      <c r="E76" s="233"/>
      <c r="F76" s="233"/>
      <c r="G76" s="233"/>
      <c r="H76" s="233"/>
      <c r="I76" s="233"/>
      <c r="J76" s="233"/>
      <c r="K76" s="233"/>
      <c r="L76" s="233"/>
      <c r="M76" s="233"/>
      <c r="N76" s="233"/>
      <c r="O76" s="233"/>
      <c r="P76" s="15"/>
    </row>
    <row r="77" spans="2:32" x14ac:dyDescent="0.3">
      <c r="B77" s="15"/>
      <c r="C77" s="15"/>
      <c r="D77" s="233"/>
      <c r="E77" s="233"/>
      <c r="F77" s="233"/>
      <c r="G77" s="233"/>
      <c r="H77" s="233"/>
      <c r="I77" s="233"/>
      <c r="J77" s="233"/>
      <c r="K77" s="233"/>
      <c r="L77" s="233"/>
      <c r="M77" s="233"/>
      <c r="N77" s="233"/>
      <c r="O77" s="233"/>
      <c r="P77" s="15"/>
    </row>
    <row r="78" spans="2:32" x14ac:dyDescent="0.3">
      <c r="F78" s="15"/>
      <c r="G78" s="15"/>
      <c r="H78" s="15"/>
      <c r="I78" s="15"/>
      <c r="J78" s="15"/>
      <c r="K78" s="15"/>
      <c r="L78" s="234"/>
      <c r="M78" s="234"/>
      <c r="N78" s="234"/>
      <c r="O78" s="234"/>
      <c r="P78" s="15"/>
    </row>
    <row r="79" spans="2:32" ht="8.25" customHeight="1" x14ac:dyDescent="0.3">
      <c r="B79" s="15"/>
      <c r="C79" s="15"/>
      <c r="D79" s="15"/>
      <c r="E79" s="15"/>
      <c r="F79" s="15"/>
      <c r="G79" s="15"/>
      <c r="H79" s="15"/>
      <c r="I79" s="15"/>
      <c r="J79" s="15"/>
      <c r="K79" s="15"/>
      <c r="L79" s="156"/>
      <c r="M79" s="156"/>
      <c r="N79" s="156"/>
      <c r="O79" s="15"/>
      <c r="P79" s="15"/>
    </row>
    <row r="80" spans="2:32" ht="15" customHeight="1" x14ac:dyDescent="0.3">
      <c r="B80" s="234"/>
      <c r="C80" s="234"/>
      <c r="D80" s="234"/>
      <c r="E80" s="234"/>
      <c r="F80" s="15"/>
      <c r="G80" s="15"/>
      <c r="H80" s="15"/>
      <c r="I80" s="15"/>
      <c r="J80" s="15"/>
      <c r="K80" s="15"/>
      <c r="O80" s="15"/>
      <c r="P80" s="15"/>
    </row>
    <row r="81" spans="2:16" x14ac:dyDescent="0.3">
      <c r="B81" s="15"/>
      <c r="C81" s="15"/>
      <c r="D81" s="15"/>
      <c r="E81" s="15"/>
      <c r="F81" s="15"/>
      <c r="G81" s="15"/>
      <c r="H81" s="15"/>
      <c r="I81" s="15"/>
      <c r="J81" s="15"/>
      <c r="K81" s="15"/>
      <c r="O81" s="15"/>
      <c r="P81" s="15"/>
    </row>
    <row r="82" spans="2:16" x14ac:dyDescent="0.3">
      <c r="B82" s="209"/>
      <c r="C82" s="209"/>
      <c r="D82" s="209"/>
      <c r="E82" s="209"/>
      <c r="F82" s="15"/>
      <c r="G82" s="15"/>
      <c r="H82" s="15"/>
      <c r="I82" s="15"/>
      <c r="J82" s="15"/>
      <c r="K82" s="15"/>
      <c r="O82" s="15"/>
      <c r="P82" s="15"/>
    </row>
    <row r="83" spans="2:16" ht="20.25" customHeight="1" x14ac:dyDescent="0.3">
      <c r="B83" s="230"/>
      <c r="C83" s="230"/>
      <c r="D83" s="230"/>
      <c r="E83" s="230"/>
      <c r="F83" s="230"/>
      <c r="G83" s="230"/>
      <c r="H83" s="230"/>
      <c r="I83" s="230"/>
      <c r="J83" s="230"/>
      <c r="K83" s="230"/>
      <c r="L83" s="230"/>
      <c r="M83" s="230"/>
      <c r="N83" s="230"/>
      <c r="O83" s="230"/>
      <c r="P83" s="15"/>
    </row>
    <row r="84" spans="2:16" x14ac:dyDescent="0.3">
      <c r="B84" s="230"/>
      <c r="C84" s="230"/>
      <c r="D84" s="230"/>
      <c r="E84" s="230"/>
      <c r="F84" s="230"/>
      <c r="G84" s="230"/>
      <c r="H84" s="230"/>
      <c r="I84" s="230"/>
      <c r="J84" s="230"/>
      <c r="K84" s="230"/>
      <c r="L84" s="230"/>
      <c r="M84" s="15"/>
      <c r="N84" s="15"/>
      <c r="O84" s="15"/>
      <c r="P84" s="15"/>
    </row>
    <row r="85" spans="2:16" x14ac:dyDescent="0.3">
      <c r="F85" s="15"/>
      <c r="G85" s="15"/>
      <c r="H85" s="15"/>
      <c r="I85" s="15"/>
      <c r="J85" s="15"/>
      <c r="K85" s="15"/>
      <c r="L85" s="40"/>
      <c r="M85" s="40"/>
      <c r="N85" s="40"/>
      <c r="O85" s="15"/>
      <c r="P85" s="15"/>
    </row>
    <row r="86" spans="2:16" ht="8.25" customHeight="1" x14ac:dyDescent="0.3">
      <c r="B86" s="15"/>
      <c r="C86" s="15"/>
      <c r="D86" s="15"/>
      <c r="E86" s="15"/>
      <c r="F86" s="15"/>
      <c r="G86" s="15"/>
      <c r="H86" s="15"/>
      <c r="I86" s="15"/>
      <c r="J86" s="15"/>
      <c r="K86" s="15"/>
      <c r="L86" s="40"/>
      <c r="M86" s="40"/>
      <c r="N86" s="40"/>
      <c r="O86" s="15"/>
      <c r="P86" s="15"/>
    </row>
    <row r="87" spans="2:16" x14ac:dyDescent="0.3">
      <c r="B87" s="209"/>
      <c r="C87" s="209"/>
      <c r="D87" s="209"/>
      <c r="E87" s="209"/>
      <c r="F87" s="15"/>
      <c r="G87" s="15"/>
      <c r="H87" s="15"/>
      <c r="I87" s="15"/>
      <c r="J87" s="15"/>
      <c r="K87" s="15"/>
      <c r="L87" s="15"/>
      <c r="M87" s="15"/>
      <c r="N87" s="15"/>
      <c r="O87" s="15"/>
      <c r="P87" s="15"/>
    </row>
    <row r="88" spans="2:16" ht="8.25" customHeight="1" x14ac:dyDescent="0.3">
      <c r="B88" s="15"/>
      <c r="C88" s="15"/>
      <c r="D88" s="15"/>
      <c r="E88" s="15"/>
      <c r="F88" s="15"/>
      <c r="G88" s="15"/>
      <c r="H88" s="15"/>
      <c r="I88" s="15"/>
      <c r="J88" s="15"/>
      <c r="K88" s="15"/>
      <c r="L88" s="40"/>
      <c r="M88" s="40"/>
      <c r="N88" s="40"/>
      <c r="O88" s="15"/>
      <c r="P88" s="15"/>
    </row>
    <row r="89" spans="2:16" x14ac:dyDescent="0.3">
      <c r="B89" s="209"/>
      <c r="C89" s="209"/>
      <c r="D89" s="209"/>
      <c r="E89" s="209"/>
      <c r="F89" s="15"/>
      <c r="G89" s="15"/>
      <c r="H89" s="15"/>
      <c r="I89" s="15"/>
      <c r="J89" s="15"/>
      <c r="K89" s="15"/>
      <c r="L89" s="15"/>
      <c r="M89" s="15"/>
      <c r="N89" s="15"/>
      <c r="O89" s="15"/>
      <c r="P89" s="15"/>
    </row>
    <row r="90" spans="2:16" ht="8.25" customHeight="1" x14ac:dyDescent="0.3">
      <c r="B90" s="15"/>
      <c r="C90" s="15"/>
      <c r="D90" s="15"/>
      <c r="E90" s="15"/>
      <c r="F90" s="15"/>
      <c r="G90" s="15"/>
      <c r="H90" s="15"/>
      <c r="I90" s="15"/>
      <c r="J90" s="15"/>
      <c r="K90" s="15"/>
      <c r="L90" s="40"/>
      <c r="M90" s="40"/>
      <c r="N90" s="40"/>
      <c r="O90" s="15"/>
      <c r="P90" s="15"/>
    </row>
    <row r="91" spans="2:16" ht="20.25" customHeight="1" x14ac:dyDescent="0.3">
      <c r="B91" s="230"/>
      <c r="C91" s="230"/>
      <c r="D91" s="230"/>
      <c r="E91" s="230"/>
      <c r="F91" s="230"/>
      <c r="G91" s="230"/>
      <c r="H91" s="230"/>
      <c r="I91" s="230"/>
      <c r="J91" s="230"/>
      <c r="K91" s="230"/>
      <c r="L91" s="230"/>
      <c r="M91" s="230"/>
      <c r="N91" s="230"/>
      <c r="O91" s="230"/>
      <c r="P91" s="15"/>
    </row>
    <row r="92" spans="2:16" x14ac:dyDescent="0.3">
      <c r="B92" s="230"/>
      <c r="C92" s="230"/>
      <c r="D92" s="230"/>
      <c r="E92" s="230"/>
      <c r="F92" s="230"/>
      <c r="G92" s="230"/>
      <c r="H92" s="230"/>
      <c r="I92" s="230"/>
      <c r="J92" s="230"/>
      <c r="K92" s="230"/>
      <c r="L92" s="230"/>
      <c r="M92" s="15"/>
      <c r="N92" s="15"/>
      <c r="O92" s="15"/>
      <c r="P92" s="15"/>
    </row>
    <row r="93" spans="2:16" x14ac:dyDescent="0.3">
      <c r="F93" s="15"/>
      <c r="G93" s="15"/>
      <c r="H93" s="15"/>
      <c r="I93" s="15"/>
      <c r="J93" s="15"/>
      <c r="K93" s="15"/>
      <c r="L93" s="40"/>
      <c r="M93" s="40"/>
      <c r="N93" s="40"/>
      <c r="O93" s="15"/>
      <c r="P93" s="15"/>
    </row>
    <row r="94" spans="2:16" ht="8.25" customHeight="1" x14ac:dyDescent="0.3">
      <c r="B94" s="15"/>
      <c r="C94" s="15"/>
      <c r="D94" s="15"/>
      <c r="E94" s="15"/>
      <c r="F94" s="15"/>
      <c r="G94" s="15"/>
      <c r="H94" s="15"/>
      <c r="I94" s="15"/>
      <c r="J94" s="15"/>
      <c r="K94" s="15"/>
      <c r="L94" s="40"/>
      <c r="M94" s="40"/>
      <c r="N94" s="40"/>
      <c r="O94" s="15"/>
      <c r="P94" s="15"/>
    </row>
    <row r="95" spans="2:16" x14ac:dyDescent="0.3">
      <c r="B95" s="209"/>
      <c r="C95" s="209"/>
      <c r="D95" s="209"/>
      <c r="E95" s="209"/>
      <c r="F95" s="15"/>
      <c r="G95" s="15"/>
      <c r="H95" s="15"/>
      <c r="I95" s="15"/>
      <c r="J95" s="15"/>
      <c r="K95" s="15"/>
      <c r="L95" s="15"/>
      <c r="M95" s="15"/>
      <c r="N95" s="15"/>
      <c r="O95" s="15"/>
      <c r="P95" s="15"/>
    </row>
    <row r="96" spans="2:16" ht="8.25" customHeight="1" x14ac:dyDescent="0.3">
      <c r="B96" s="15"/>
      <c r="C96" s="15"/>
      <c r="D96" s="15"/>
      <c r="E96" s="15"/>
      <c r="F96" s="15"/>
      <c r="G96" s="15"/>
      <c r="H96" s="15"/>
      <c r="I96" s="15"/>
      <c r="J96" s="15"/>
      <c r="K96" s="15"/>
      <c r="L96" s="40"/>
      <c r="M96" s="40"/>
      <c r="N96" s="40"/>
      <c r="O96" s="15"/>
      <c r="P96" s="15"/>
    </row>
    <row r="97" spans="2:16" x14ac:dyDescent="0.3">
      <c r="B97" s="209"/>
      <c r="C97" s="209"/>
      <c r="D97" s="209"/>
      <c r="E97" s="209"/>
      <c r="F97" s="15"/>
      <c r="G97" s="15"/>
      <c r="H97" s="15"/>
      <c r="I97" s="15"/>
      <c r="J97" s="15"/>
      <c r="K97" s="15"/>
      <c r="L97" s="15"/>
      <c r="M97" s="15"/>
      <c r="N97" s="15"/>
      <c r="O97" s="15"/>
      <c r="P97" s="15"/>
    </row>
    <row r="98" spans="2:16" x14ac:dyDescent="0.3">
      <c r="B98" s="15"/>
      <c r="C98" s="15"/>
      <c r="D98" s="15"/>
      <c r="E98" s="15"/>
      <c r="F98" s="15"/>
      <c r="G98" s="15"/>
      <c r="H98" s="15"/>
      <c r="I98" s="15"/>
      <c r="J98" s="15"/>
      <c r="K98" s="15"/>
      <c r="L98" s="156"/>
      <c r="M98" s="156"/>
      <c r="N98" s="156"/>
      <c r="O98" s="15"/>
      <c r="P98" s="15"/>
    </row>
    <row r="99" spans="2:16" x14ac:dyDescent="0.3">
      <c r="B99" s="15"/>
      <c r="C99" s="15"/>
      <c r="D99" s="15"/>
      <c r="E99" s="15"/>
      <c r="F99" s="15"/>
      <c r="G99" s="15"/>
      <c r="H99" s="15"/>
      <c r="I99" s="15"/>
      <c r="J99" s="15"/>
      <c r="K99" s="15"/>
      <c r="L99" s="156"/>
      <c r="M99" s="156"/>
      <c r="N99" s="156"/>
      <c r="O99" s="15"/>
      <c r="P99" s="15"/>
    </row>
    <row r="100" spans="2:16" x14ac:dyDescent="0.3">
      <c r="B100" s="15"/>
      <c r="C100" s="15"/>
      <c r="D100" s="15"/>
      <c r="E100" s="15"/>
      <c r="F100" s="15"/>
      <c r="G100" s="15"/>
      <c r="H100" s="15"/>
      <c r="I100" s="15"/>
      <c r="J100" s="15"/>
      <c r="K100" s="15"/>
      <c r="L100" s="156"/>
      <c r="M100" s="156"/>
      <c r="N100" s="156"/>
      <c r="O100" s="15"/>
      <c r="P100" s="15"/>
    </row>
    <row r="101" spans="2:16" x14ac:dyDescent="0.3">
      <c r="B101" s="15"/>
      <c r="C101" s="15"/>
      <c r="D101" s="15"/>
      <c r="E101" s="15"/>
      <c r="F101" s="15"/>
      <c r="G101" s="15"/>
      <c r="H101" s="15"/>
      <c r="I101" s="15"/>
      <c r="J101" s="15"/>
      <c r="K101" s="15"/>
      <c r="L101" s="156"/>
      <c r="M101" s="156"/>
      <c r="N101" s="156"/>
      <c r="O101" s="15"/>
      <c r="P101" s="15"/>
    </row>
    <row r="102" spans="2:16" x14ac:dyDescent="0.3">
      <c r="B102" s="15"/>
      <c r="C102" s="15"/>
      <c r="D102" s="15"/>
      <c r="E102" s="15"/>
      <c r="F102" s="15"/>
      <c r="G102" s="15"/>
      <c r="H102" s="15"/>
      <c r="I102" s="15"/>
      <c r="J102" s="15"/>
      <c r="K102" s="15"/>
      <c r="L102" s="156"/>
      <c r="M102" s="156"/>
      <c r="N102" s="156"/>
      <c r="O102" s="15"/>
      <c r="P102" s="15"/>
    </row>
    <row r="103" spans="2:16" x14ac:dyDescent="0.3">
      <c r="B103" s="15"/>
      <c r="C103" s="15"/>
      <c r="D103" s="15"/>
      <c r="E103" s="15"/>
      <c r="F103" s="15"/>
      <c r="G103" s="15"/>
      <c r="H103" s="15"/>
      <c r="I103" s="15"/>
      <c r="J103" s="15"/>
      <c r="K103" s="15"/>
      <c r="L103" s="156"/>
      <c r="M103" s="156"/>
      <c r="N103" s="156"/>
      <c r="O103" s="15"/>
      <c r="P103" s="15"/>
    </row>
    <row r="104" spans="2:16" x14ac:dyDescent="0.3">
      <c r="B104" s="15"/>
      <c r="C104" s="15"/>
      <c r="D104" s="15"/>
      <c r="E104" s="15"/>
      <c r="F104" s="15"/>
      <c r="G104" s="15"/>
      <c r="H104" s="15"/>
      <c r="I104" s="15"/>
      <c r="J104" s="15"/>
      <c r="K104" s="15"/>
      <c r="L104" s="156"/>
      <c r="M104" s="156"/>
      <c r="N104" s="156"/>
      <c r="O104" s="15"/>
      <c r="P104" s="15"/>
    </row>
    <row r="105" spans="2:16" x14ac:dyDescent="0.3">
      <c r="B105" s="15"/>
      <c r="C105" s="15"/>
      <c r="D105" s="15"/>
      <c r="E105" s="15"/>
      <c r="F105" s="15"/>
      <c r="G105" s="15"/>
      <c r="H105" s="15"/>
      <c r="I105" s="15"/>
      <c r="J105" s="15"/>
      <c r="K105" s="15"/>
      <c r="L105" s="156"/>
      <c r="M105" s="156"/>
      <c r="N105" s="156"/>
      <c r="O105" s="15"/>
      <c r="P105" s="15"/>
    </row>
    <row r="106" spans="2:16" x14ac:dyDescent="0.3">
      <c r="B106" s="15"/>
      <c r="C106" s="15"/>
      <c r="D106" s="15"/>
      <c r="E106" s="15"/>
      <c r="F106" s="15"/>
      <c r="G106" s="15"/>
      <c r="H106" s="15"/>
      <c r="I106" s="15"/>
      <c r="J106" s="15"/>
      <c r="K106" s="15"/>
      <c r="L106" s="156"/>
      <c r="M106" s="156"/>
      <c r="N106" s="156"/>
      <c r="O106" s="15"/>
      <c r="P106" s="15"/>
    </row>
    <row r="107" spans="2:16" x14ac:dyDescent="0.3">
      <c r="B107" s="15"/>
      <c r="C107" s="15"/>
      <c r="D107" s="15"/>
      <c r="E107" s="15"/>
      <c r="F107" s="15"/>
      <c r="G107" s="15"/>
      <c r="H107" s="15"/>
      <c r="I107" s="15"/>
      <c r="J107" s="15"/>
      <c r="K107" s="15"/>
      <c r="L107" s="156"/>
      <c r="M107" s="156"/>
      <c r="N107" s="156"/>
      <c r="O107" s="15"/>
      <c r="P107" s="15"/>
    </row>
    <row r="108" spans="2:16" x14ac:dyDescent="0.3">
      <c r="B108" s="15"/>
      <c r="C108" s="15"/>
      <c r="D108" s="15"/>
      <c r="E108" s="15"/>
      <c r="F108" s="15"/>
      <c r="G108" s="15"/>
      <c r="H108" s="15"/>
      <c r="I108" s="15"/>
      <c r="J108" s="15"/>
      <c r="K108" s="15"/>
      <c r="L108" s="156"/>
      <c r="M108" s="156"/>
      <c r="N108" s="156"/>
      <c r="O108" s="15"/>
      <c r="P108" s="15"/>
    </row>
    <row r="109" spans="2:16" x14ac:dyDescent="0.3">
      <c r="B109" s="15"/>
      <c r="C109" s="15"/>
      <c r="D109" s="15"/>
      <c r="E109" s="15"/>
      <c r="F109" s="15"/>
      <c r="G109" s="15"/>
      <c r="H109" s="15"/>
      <c r="I109" s="15"/>
      <c r="J109" s="15"/>
      <c r="K109" s="15"/>
      <c r="L109" s="156"/>
      <c r="M109" s="156"/>
      <c r="N109" s="156"/>
      <c r="O109" s="15"/>
      <c r="P109" s="15"/>
    </row>
    <row r="110" spans="2:16" x14ac:dyDescent="0.3">
      <c r="B110" s="15"/>
      <c r="C110" s="15"/>
      <c r="D110" s="15"/>
      <c r="E110" s="15"/>
      <c r="F110" s="15"/>
      <c r="G110" s="15"/>
      <c r="H110" s="15"/>
      <c r="I110" s="15"/>
      <c r="J110" s="15"/>
      <c r="K110" s="15"/>
      <c r="L110" s="156"/>
      <c r="M110" s="156"/>
      <c r="N110" s="156"/>
      <c r="O110" s="15"/>
      <c r="P110" s="15"/>
    </row>
    <row r="111" spans="2:16" x14ac:dyDescent="0.3">
      <c r="B111" s="15"/>
      <c r="C111" s="15"/>
      <c r="D111" s="15"/>
      <c r="E111" s="15"/>
      <c r="F111" s="15"/>
      <c r="G111" s="15"/>
      <c r="H111" s="15"/>
      <c r="I111" s="15"/>
      <c r="J111" s="15"/>
      <c r="K111" s="15"/>
      <c r="L111" s="156"/>
      <c r="M111" s="156"/>
      <c r="N111" s="156"/>
      <c r="O111" s="15"/>
      <c r="P111" s="15"/>
    </row>
    <row r="112" spans="2:16" x14ac:dyDescent="0.3">
      <c r="B112" s="15"/>
      <c r="C112" s="15"/>
      <c r="D112" s="15"/>
      <c r="E112" s="15"/>
      <c r="F112" s="15"/>
      <c r="G112" s="15"/>
      <c r="H112" s="15"/>
      <c r="I112" s="15"/>
      <c r="J112" s="15"/>
      <c r="K112" s="15"/>
      <c r="L112" s="156"/>
      <c r="M112" s="156"/>
      <c r="N112" s="156"/>
      <c r="O112" s="15"/>
      <c r="P112" s="15"/>
    </row>
    <row r="113" spans="2:16" x14ac:dyDescent="0.3">
      <c r="B113" s="15"/>
      <c r="C113" s="15"/>
      <c r="D113" s="15"/>
      <c r="E113" s="15"/>
      <c r="F113" s="15"/>
      <c r="G113" s="15"/>
      <c r="H113" s="15"/>
      <c r="I113" s="15"/>
      <c r="J113" s="15"/>
      <c r="K113" s="15"/>
      <c r="L113" s="156"/>
      <c r="M113" s="156"/>
      <c r="N113" s="156"/>
      <c r="O113" s="15"/>
      <c r="P113" s="15"/>
    </row>
    <row r="114" spans="2:16" x14ac:dyDescent="0.3">
      <c r="B114" s="15"/>
      <c r="C114" s="15"/>
      <c r="D114" s="15"/>
      <c r="E114" s="15"/>
      <c r="F114" s="15"/>
      <c r="G114" s="15"/>
      <c r="H114" s="15"/>
      <c r="I114" s="15"/>
      <c r="J114" s="15"/>
      <c r="K114" s="15"/>
      <c r="L114" s="156"/>
      <c r="M114" s="156"/>
      <c r="N114" s="156"/>
      <c r="O114" s="15"/>
      <c r="P114" s="15"/>
    </row>
    <row r="115" spans="2:16" x14ac:dyDescent="0.3">
      <c r="B115" s="15"/>
      <c r="C115" s="15"/>
      <c r="D115" s="15"/>
      <c r="E115" s="15"/>
      <c r="F115" s="15"/>
      <c r="G115" s="15"/>
      <c r="H115" s="15"/>
      <c r="I115" s="15"/>
      <c r="J115" s="15"/>
      <c r="K115" s="15"/>
      <c r="L115" s="156"/>
      <c r="M115" s="156"/>
      <c r="N115" s="156"/>
      <c r="O115" s="15"/>
      <c r="P115" s="15"/>
    </row>
    <row r="116" spans="2:16" x14ac:dyDescent="0.3">
      <c r="B116" s="15"/>
      <c r="C116" s="15"/>
      <c r="D116" s="15"/>
      <c r="E116" s="15"/>
      <c r="F116" s="15"/>
      <c r="G116" s="15"/>
      <c r="H116" s="15"/>
      <c r="I116" s="15"/>
      <c r="J116" s="15"/>
      <c r="K116" s="15"/>
      <c r="L116" s="156"/>
      <c r="M116" s="156"/>
      <c r="N116" s="156"/>
      <c r="O116" s="15"/>
      <c r="P116" s="15"/>
    </row>
    <row r="117" spans="2:16" x14ac:dyDescent="0.3">
      <c r="B117" s="15"/>
      <c r="C117" s="15"/>
      <c r="D117" s="15"/>
      <c r="E117" s="15"/>
      <c r="F117" s="15"/>
      <c r="G117" s="15"/>
      <c r="H117" s="15"/>
      <c r="I117" s="15"/>
      <c r="J117" s="15"/>
      <c r="K117" s="15"/>
      <c r="L117" s="156"/>
      <c r="M117" s="156"/>
      <c r="N117" s="156"/>
      <c r="O117" s="15"/>
      <c r="P117" s="15"/>
    </row>
    <row r="118" spans="2:16" x14ac:dyDescent="0.3">
      <c r="B118" s="15"/>
      <c r="C118" s="15"/>
      <c r="D118" s="15"/>
      <c r="E118" s="15"/>
      <c r="F118" s="15"/>
      <c r="G118" s="15"/>
      <c r="H118" s="15"/>
      <c r="I118" s="15"/>
      <c r="J118" s="15"/>
      <c r="K118" s="15"/>
      <c r="L118" s="156"/>
      <c r="M118" s="156"/>
      <c r="N118" s="156"/>
      <c r="O118" s="15"/>
      <c r="P118" s="15"/>
    </row>
    <row r="119" spans="2:16" x14ac:dyDescent="0.3">
      <c r="B119" s="15"/>
      <c r="C119" s="15"/>
      <c r="D119" s="15"/>
      <c r="E119" s="15"/>
      <c r="F119" s="15"/>
      <c r="G119" s="15"/>
      <c r="H119" s="15"/>
      <c r="I119" s="15"/>
      <c r="J119" s="15"/>
      <c r="K119" s="15"/>
      <c r="L119" s="156"/>
      <c r="M119" s="156"/>
      <c r="N119" s="156"/>
      <c r="O119" s="15"/>
      <c r="P119" s="15"/>
    </row>
    <row r="120" spans="2:16" x14ac:dyDescent="0.3">
      <c r="B120" s="15"/>
      <c r="C120" s="15"/>
      <c r="D120" s="15"/>
      <c r="E120" s="15"/>
      <c r="F120" s="15"/>
      <c r="G120" s="15"/>
      <c r="H120" s="15"/>
      <c r="I120" s="15"/>
      <c r="J120" s="15"/>
      <c r="K120" s="15"/>
      <c r="L120" s="156"/>
      <c r="M120" s="156"/>
      <c r="N120" s="156"/>
      <c r="O120" s="15"/>
      <c r="P120" s="15"/>
    </row>
    <row r="121" spans="2:16" x14ac:dyDescent="0.3">
      <c r="B121" s="15"/>
      <c r="C121" s="15"/>
      <c r="D121" s="15"/>
      <c r="E121" s="15"/>
      <c r="F121" s="15"/>
      <c r="G121" s="15"/>
      <c r="H121" s="15"/>
      <c r="I121" s="15"/>
      <c r="J121" s="15"/>
      <c r="K121" s="15"/>
      <c r="L121" s="156"/>
      <c r="M121" s="156"/>
      <c r="N121" s="156"/>
      <c r="O121" s="15"/>
      <c r="P121" s="15"/>
    </row>
    <row r="122" spans="2:16" x14ac:dyDescent="0.3">
      <c r="B122" s="15"/>
      <c r="C122" s="15"/>
      <c r="D122" s="15"/>
      <c r="E122" s="15"/>
      <c r="F122" s="15"/>
      <c r="G122" s="15"/>
      <c r="H122" s="15"/>
      <c r="I122" s="15"/>
      <c r="J122" s="15"/>
      <c r="K122" s="15"/>
      <c r="L122" s="156"/>
      <c r="M122" s="156"/>
      <c r="N122" s="156"/>
      <c r="O122" s="15"/>
      <c r="P122" s="15"/>
    </row>
    <row r="123" spans="2:16" x14ac:dyDescent="0.3">
      <c r="B123" s="15"/>
      <c r="C123" s="15"/>
      <c r="D123" s="15"/>
      <c r="E123" s="15"/>
      <c r="F123" s="15"/>
      <c r="G123" s="15"/>
      <c r="H123" s="15"/>
      <c r="I123" s="15"/>
      <c r="J123" s="15"/>
      <c r="K123" s="15"/>
      <c r="L123" s="156"/>
      <c r="M123" s="156"/>
      <c r="N123" s="156"/>
      <c r="O123" s="15"/>
      <c r="P123" s="15"/>
    </row>
    <row r="124" spans="2:16" x14ac:dyDescent="0.3">
      <c r="B124" s="15"/>
      <c r="C124" s="15"/>
      <c r="D124" s="15"/>
      <c r="E124" s="15"/>
      <c r="F124" s="15"/>
      <c r="G124" s="15"/>
      <c r="H124" s="15"/>
      <c r="I124" s="15"/>
      <c r="J124" s="15"/>
      <c r="K124" s="15"/>
      <c r="L124" s="156"/>
      <c r="M124" s="156"/>
      <c r="N124" s="156"/>
      <c r="O124" s="15"/>
      <c r="P124" s="15"/>
    </row>
    <row r="125" spans="2:16" x14ac:dyDescent="0.3">
      <c r="B125" s="15"/>
      <c r="C125" s="15"/>
      <c r="D125" s="15"/>
      <c r="E125" s="15"/>
      <c r="F125" s="15"/>
      <c r="G125" s="15"/>
      <c r="H125" s="15"/>
      <c r="I125" s="15"/>
      <c r="J125" s="15"/>
      <c r="K125" s="15"/>
      <c r="L125" s="156"/>
      <c r="M125" s="156"/>
      <c r="N125" s="156"/>
      <c r="O125" s="15"/>
      <c r="P125" s="15"/>
    </row>
    <row r="126" spans="2:16" x14ac:dyDescent="0.3">
      <c r="B126" s="15"/>
      <c r="C126" s="15"/>
      <c r="D126" s="15"/>
      <c r="E126" s="15"/>
      <c r="F126" s="15"/>
      <c r="G126" s="15"/>
      <c r="H126" s="15"/>
      <c r="I126" s="15"/>
      <c r="J126" s="15"/>
      <c r="K126" s="15"/>
      <c r="L126" s="156"/>
      <c r="M126" s="156"/>
      <c r="N126" s="156"/>
      <c r="O126" s="15"/>
      <c r="P126" s="15"/>
    </row>
    <row r="127" spans="2:16" x14ac:dyDescent="0.3">
      <c r="B127" s="15"/>
      <c r="C127" s="15"/>
      <c r="D127" s="15"/>
      <c r="E127" s="15"/>
      <c r="F127" s="15"/>
      <c r="G127" s="15"/>
      <c r="H127" s="15"/>
      <c r="I127" s="15"/>
      <c r="J127" s="15"/>
      <c r="K127" s="15"/>
      <c r="L127" s="156"/>
      <c r="M127" s="156"/>
      <c r="N127" s="156"/>
      <c r="O127" s="15"/>
      <c r="P127" s="15"/>
    </row>
    <row r="128" spans="2:16" x14ac:dyDescent="0.3">
      <c r="B128" s="15"/>
      <c r="C128" s="15"/>
      <c r="D128" s="15"/>
      <c r="E128" s="15"/>
      <c r="F128" s="15"/>
      <c r="G128" s="15"/>
      <c r="H128" s="15"/>
      <c r="I128" s="15"/>
      <c r="J128" s="15"/>
      <c r="K128" s="15"/>
      <c r="L128" s="156"/>
      <c r="M128" s="156"/>
      <c r="N128" s="156"/>
      <c r="O128" s="15"/>
      <c r="P128" s="15"/>
    </row>
    <row r="129" spans="2:16" x14ac:dyDescent="0.3">
      <c r="B129" s="15"/>
      <c r="C129" s="15"/>
      <c r="D129" s="15"/>
      <c r="E129" s="15"/>
      <c r="F129" s="15"/>
      <c r="G129" s="15"/>
      <c r="H129" s="15"/>
      <c r="I129" s="15"/>
      <c r="J129" s="15"/>
      <c r="K129" s="15"/>
      <c r="L129" s="156"/>
      <c r="M129" s="156"/>
      <c r="N129" s="156"/>
      <c r="O129" s="15"/>
      <c r="P129" s="15"/>
    </row>
    <row r="130" spans="2:16" x14ac:dyDescent="0.3">
      <c r="B130" s="15"/>
      <c r="C130" s="15"/>
      <c r="D130" s="15"/>
      <c r="E130" s="15"/>
      <c r="F130" s="15"/>
      <c r="G130" s="15"/>
      <c r="H130" s="15"/>
      <c r="I130" s="15"/>
      <c r="J130" s="15"/>
      <c r="K130" s="15"/>
      <c r="L130" s="156"/>
      <c r="M130" s="156"/>
      <c r="N130" s="156"/>
      <c r="O130" s="15"/>
      <c r="P130" s="15"/>
    </row>
    <row r="131" spans="2:16" x14ac:dyDescent="0.3">
      <c r="B131" s="15"/>
      <c r="C131" s="15"/>
      <c r="D131" s="15"/>
      <c r="E131" s="15"/>
      <c r="F131" s="15"/>
      <c r="G131" s="15"/>
      <c r="H131" s="15"/>
      <c r="I131" s="15"/>
      <c r="J131" s="15"/>
      <c r="K131" s="15"/>
      <c r="L131" s="156"/>
      <c r="M131" s="156"/>
      <c r="N131" s="156"/>
      <c r="O131" s="15"/>
      <c r="P131" s="15"/>
    </row>
    <row r="132" spans="2:16" x14ac:dyDescent="0.3">
      <c r="B132" s="15"/>
      <c r="C132" s="15"/>
      <c r="D132" s="15"/>
      <c r="E132" s="15"/>
      <c r="F132" s="15"/>
      <c r="G132" s="15"/>
      <c r="H132" s="15"/>
      <c r="I132" s="15"/>
      <c r="J132" s="15"/>
      <c r="K132" s="15"/>
      <c r="L132" s="156"/>
      <c r="M132" s="156"/>
      <c r="N132" s="156"/>
      <c r="O132" s="15"/>
      <c r="P132" s="15"/>
    </row>
    <row r="133" spans="2:16" x14ac:dyDescent="0.3">
      <c r="B133" s="15"/>
      <c r="C133" s="15"/>
      <c r="D133" s="15"/>
      <c r="E133" s="15"/>
      <c r="F133" s="15"/>
      <c r="G133" s="15"/>
      <c r="H133" s="15"/>
      <c r="I133" s="15"/>
      <c r="J133" s="15"/>
      <c r="K133" s="15"/>
      <c r="L133" s="156"/>
      <c r="M133" s="156"/>
      <c r="N133" s="156"/>
      <c r="O133" s="15"/>
      <c r="P133" s="15"/>
    </row>
    <row r="134" spans="2:16" x14ac:dyDescent="0.3">
      <c r="B134" s="15"/>
      <c r="C134" s="15"/>
      <c r="D134" s="15"/>
      <c r="E134" s="15"/>
      <c r="F134" s="15"/>
      <c r="G134" s="15"/>
      <c r="H134" s="15"/>
      <c r="I134" s="15"/>
      <c r="J134" s="15"/>
      <c r="K134" s="15"/>
      <c r="L134" s="156"/>
      <c r="M134" s="156"/>
      <c r="N134" s="156"/>
      <c r="O134" s="15"/>
      <c r="P134" s="15"/>
    </row>
    <row r="135" spans="2:16" x14ac:dyDescent="0.3">
      <c r="B135" s="15"/>
      <c r="C135" s="15"/>
      <c r="D135" s="15"/>
      <c r="E135" s="15"/>
      <c r="F135" s="15"/>
      <c r="G135" s="15"/>
      <c r="H135" s="15"/>
      <c r="I135" s="15"/>
      <c r="J135" s="15"/>
      <c r="K135" s="15"/>
      <c r="L135" s="156"/>
      <c r="M135" s="156"/>
      <c r="N135" s="156"/>
      <c r="O135" s="15"/>
      <c r="P135" s="15"/>
    </row>
    <row r="136" spans="2:16" x14ac:dyDescent="0.3">
      <c r="B136" s="15"/>
      <c r="C136" s="15"/>
      <c r="D136" s="15"/>
      <c r="E136" s="15"/>
      <c r="F136" s="15"/>
      <c r="G136" s="15"/>
      <c r="H136" s="15"/>
      <c r="I136" s="15"/>
      <c r="J136" s="15"/>
      <c r="K136" s="15"/>
      <c r="L136" s="156"/>
      <c r="M136" s="156"/>
      <c r="N136" s="156"/>
      <c r="O136" s="15"/>
      <c r="P136" s="15"/>
    </row>
    <row r="137" spans="2:16" x14ac:dyDescent="0.3">
      <c r="B137" s="15"/>
      <c r="C137" s="15"/>
      <c r="D137" s="15"/>
      <c r="E137" s="15"/>
      <c r="F137" s="15"/>
      <c r="G137" s="15"/>
      <c r="H137" s="15"/>
      <c r="I137" s="15"/>
      <c r="J137" s="15"/>
      <c r="K137" s="15"/>
      <c r="L137" s="156"/>
      <c r="M137" s="156"/>
      <c r="N137" s="156"/>
      <c r="O137" s="15"/>
      <c r="P137" s="15"/>
    </row>
    <row r="138" spans="2:16" x14ac:dyDescent="0.3">
      <c r="B138" s="15"/>
      <c r="C138" s="15"/>
      <c r="D138" s="15"/>
      <c r="E138" s="15"/>
      <c r="F138" s="15"/>
      <c r="G138" s="15"/>
      <c r="H138" s="15"/>
      <c r="I138" s="15"/>
      <c r="J138" s="15"/>
      <c r="K138" s="15"/>
      <c r="L138" s="156"/>
      <c r="M138" s="156"/>
      <c r="N138" s="156"/>
      <c r="O138" s="15"/>
      <c r="P138" s="15"/>
    </row>
    <row r="139" spans="2:16" x14ac:dyDescent="0.3">
      <c r="B139" s="15"/>
      <c r="C139" s="15"/>
      <c r="D139" s="15"/>
      <c r="E139" s="15"/>
      <c r="F139" s="15"/>
      <c r="G139" s="15"/>
      <c r="H139" s="15"/>
      <c r="I139" s="15"/>
      <c r="J139" s="15"/>
      <c r="K139" s="15"/>
      <c r="L139" s="156"/>
      <c r="M139" s="156"/>
      <c r="N139" s="156"/>
      <c r="O139" s="15"/>
      <c r="P139" s="15"/>
    </row>
    <row r="140" spans="2:16" x14ac:dyDescent="0.3">
      <c r="B140" s="15"/>
      <c r="C140" s="15"/>
      <c r="D140" s="15"/>
      <c r="E140" s="15"/>
      <c r="F140" s="15"/>
      <c r="G140" s="15"/>
      <c r="H140" s="15"/>
      <c r="I140" s="15"/>
      <c r="J140" s="15"/>
      <c r="K140" s="15"/>
      <c r="L140" s="156"/>
      <c r="M140" s="156"/>
      <c r="N140" s="156"/>
      <c r="O140" s="15"/>
      <c r="P140" s="15"/>
    </row>
    <row r="141" spans="2:16" x14ac:dyDescent="0.3">
      <c r="B141" s="15"/>
      <c r="C141" s="15"/>
      <c r="D141" s="15"/>
      <c r="E141" s="15"/>
      <c r="F141" s="15"/>
      <c r="G141" s="15"/>
      <c r="H141" s="15"/>
      <c r="I141" s="15"/>
      <c r="J141" s="15"/>
      <c r="K141" s="15"/>
      <c r="L141" s="156"/>
      <c r="M141" s="156"/>
      <c r="N141" s="156"/>
      <c r="O141" s="15"/>
      <c r="P141" s="15"/>
    </row>
    <row r="142" spans="2:16" x14ac:dyDescent="0.3">
      <c r="B142" s="15"/>
      <c r="C142" s="15"/>
      <c r="D142" s="15"/>
      <c r="E142" s="15"/>
      <c r="F142" s="15"/>
      <c r="G142" s="15"/>
      <c r="H142" s="15"/>
      <c r="I142" s="15"/>
      <c r="J142" s="15"/>
      <c r="K142" s="15"/>
      <c r="L142" s="156"/>
      <c r="M142" s="156"/>
      <c r="N142" s="156"/>
      <c r="O142" s="15"/>
      <c r="P142" s="15"/>
    </row>
    <row r="143" spans="2:16" x14ac:dyDescent="0.3">
      <c r="B143" s="15"/>
      <c r="C143" s="15"/>
      <c r="D143" s="15"/>
      <c r="E143" s="15"/>
      <c r="F143" s="15"/>
      <c r="G143" s="15"/>
      <c r="H143" s="15"/>
      <c r="I143" s="15"/>
      <c r="J143" s="15"/>
      <c r="K143" s="15"/>
      <c r="L143" s="156"/>
      <c r="M143" s="156"/>
      <c r="N143" s="156"/>
      <c r="O143" s="15"/>
      <c r="P143" s="15"/>
    </row>
    <row r="144" spans="2:16" x14ac:dyDescent="0.3">
      <c r="B144" s="15"/>
      <c r="C144" s="15"/>
      <c r="D144" s="15"/>
      <c r="E144" s="15"/>
      <c r="F144" s="15"/>
      <c r="G144" s="15"/>
      <c r="H144" s="15"/>
      <c r="I144" s="15"/>
      <c r="J144" s="15"/>
      <c r="K144" s="15"/>
      <c r="L144" s="156"/>
      <c r="M144" s="156"/>
      <c r="N144" s="156"/>
      <c r="O144" s="15"/>
      <c r="P144" s="15"/>
    </row>
    <row r="145" spans="2:16" x14ac:dyDescent="0.3">
      <c r="B145" s="15"/>
      <c r="C145" s="15"/>
      <c r="D145" s="15"/>
      <c r="E145" s="15"/>
      <c r="F145" s="15"/>
      <c r="G145" s="15"/>
      <c r="H145" s="15"/>
      <c r="I145" s="15"/>
      <c r="J145" s="15"/>
      <c r="K145" s="15"/>
      <c r="L145" s="156"/>
      <c r="M145" s="156"/>
      <c r="N145" s="156"/>
      <c r="O145" s="15"/>
      <c r="P145" s="15"/>
    </row>
    <row r="146" spans="2:16" x14ac:dyDescent="0.3">
      <c r="B146" s="15"/>
      <c r="C146" s="15"/>
      <c r="D146" s="15"/>
      <c r="E146" s="15"/>
      <c r="F146" s="15"/>
      <c r="G146" s="15"/>
      <c r="H146" s="15"/>
      <c r="I146" s="15"/>
      <c r="J146" s="15"/>
      <c r="K146" s="15"/>
      <c r="L146" s="156"/>
      <c r="M146" s="156"/>
      <c r="N146" s="156"/>
      <c r="O146" s="15"/>
      <c r="P146" s="15"/>
    </row>
    <row r="147" spans="2:16" x14ac:dyDescent="0.3">
      <c r="B147" s="15"/>
      <c r="C147" s="15"/>
      <c r="D147" s="15"/>
      <c r="E147" s="15"/>
      <c r="F147" s="15"/>
      <c r="G147" s="15"/>
      <c r="H147" s="15"/>
      <c r="I147" s="15"/>
      <c r="J147" s="15"/>
      <c r="K147" s="15"/>
      <c r="L147" s="156"/>
      <c r="M147" s="156"/>
      <c r="N147" s="156"/>
      <c r="O147" s="15"/>
      <c r="P147" s="15"/>
    </row>
    <row r="148" spans="2:16" x14ac:dyDescent="0.3">
      <c r="B148" s="15"/>
      <c r="C148" s="15"/>
      <c r="D148" s="15"/>
      <c r="E148" s="15"/>
      <c r="F148" s="15"/>
      <c r="G148" s="15"/>
      <c r="H148" s="15"/>
      <c r="I148" s="15"/>
      <c r="J148" s="15"/>
      <c r="K148" s="15"/>
      <c r="L148" s="156"/>
      <c r="M148" s="156"/>
      <c r="N148" s="156"/>
      <c r="O148" s="15"/>
      <c r="P148" s="15"/>
    </row>
    <row r="149" spans="2:16" x14ac:dyDescent="0.3">
      <c r="B149" s="15"/>
      <c r="C149" s="15"/>
      <c r="D149" s="15"/>
      <c r="E149" s="15"/>
      <c r="F149" s="15"/>
      <c r="G149" s="15"/>
      <c r="H149" s="15"/>
      <c r="I149" s="15"/>
      <c r="J149" s="15"/>
      <c r="K149" s="15"/>
      <c r="L149" s="156"/>
      <c r="M149" s="156"/>
      <c r="N149" s="156"/>
      <c r="O149" s="15"/>
      <c r="P149" s="15"/>
    </row>
    <row r="150" spans="2:16" x14ac:dyDescent="0.3">
      <c r="B150" s="15"/>
      <c r="C150" s="15"/>
      <c r="D150" s="15"/>
      <c r="E150" s="15"/>
      <c r="F150" s="15"/>
      <c r="G150" s="15"/>
      <c r="H150" s="15"/>
      <c r="I150" s="15"/>
      <c r="J150" s="15"/>
      <c r="K150" s="15"/>
      <c r="L150" s="156"/>
      <c r="M150" s="156"/>
      <c r="N150" s="156"/>
      <c r="O150" s="15"/>
      <c r="P150" s="15"/>
    </row>
    <row r="151" spans="2:16" x14ac:dyDescent="0.3">
      <c r="B151" s="15"/>
      <c r="C151" s="15"/>
      <c r="D151" s="15"/>
      <c r="E151" s="15"/>
      <c r="F151" s="15"/>
      <c r="G151" s="15"/>
      <c r="H151" s="15"/>
      <c r="I151" s="15"/>
      <c r="J151" s="15"/>
      <c r="K151" s="15"/>
      <c r="L151" s="156"/>
      <c r="M151" s="156"/>
      <c r="N151" s="156"/>
      <c r="O151" s="15"/>
      <c r="P151" s="15"/>
    </row>
    <row r="152" spans="2:16" x14ac:dyDescent="0.3">
      <c r="B152" s="15"/>
      <c r="C152" s="15"/>
      <c r="D152" s="15"/>
      <c r="E152" s="15"/>
      <c r="F152" s="15"/>
      <c r="G152" s="15"/>
      <c r="H152" s="15"/>
      <c r="I152" s="15"/>
      <c r="J152" s="15"/>
      <c r="K152" s="15"/>
      <c r="L152" s="156"/>
      <c r="M152" s="156"/>
      <c r="N152" s="156"/>
      <c r="O152" s="15"/>
      <c r="P152" s="15"/>
    </row>
    <row r="153" spans="2:16" x14ac:dyDescent="0.3">
      <c r="B153" s="15"/>
      <c r="C153" s="15"/>
      <c r="D153" s="15"/>
      <c r="E153" s="15"/>
      <c r="F153" s="15"/>
      <c r="G153" s="15"/>
      <c r="H153" s="15"/>
      <c r="I153" s="15"/>
      <c r="J153" s="15"/>
      <c r="K153" s="15"/>
      <c r="L153" s="156"/>
      <c r="M153" s="156"/>
      <c r="N153" s="156"/>
      <c r="O153" s="15"/>
      <c r="P153" s="15"/>
    </row>
    <row r="154" spans="2:16" x14ac:dyDescent="0.3">
      <c r="B154" s="15"/>
      <c r="C154" s="15"/>
      <c r="D154" s="15"/>
      <c r="E154" s="15"/>
      <c r="F154" s="15"/>
      <c r="G154" s="15"/>
      <c r="H154" s="15"/>
      <c r="I154" s="15"/>
      <c r="J154" s="15"/>
      <c r="K154" s="15"/>
      <c r="L154" s="156"/>
      <c r="M154" s="156"/>
      <c r="N154" s="156"/>
      <c r="O154" s="15"/>
      <c r="P154" s="15"/>
    </row>
    <row r="155" spans="2:16" x14ac:dyDescent="0.3">
      <c r="B155" s="15"/>
      <c r="C155" s="15"/>
      <c r="D155" s="15"/>
      <c r="E155" s="15"/>
      <c r="F155" s="15"/>
      <c r="G155" s="15"/>
      <c r="H155" s="15"/>
      <c r="I155" s="15"/>
      <c r="J155" s="15"/>
      <c r="K155" s="15"/>
      <c r="L155" s="156"/>
      <c r="M155" s="156"/>
      <c r="N155" s="156"/>
      <c r="O155" s="15"/>
      <c r="P155" s="15"/>
    </row>
    <row r="156" spans="2:16" x14ac:dyDescent="0.3">
      <c r="B156" s="15"/>
      <c r="C156" s="15"/>
      <c r="D156" s="15"/>
      <c r="E156" s="15"/>
      <c r="F156" s="15"/>
      <c r="G156" s="15"/>
      <c r="H156" s="15"/>
      <c r="I156" s="15"/>
      <c r="J156" s="15"/>
      <c r="K156" s="15"/>
      <c r="L156" s="156"/>
      <c r="M156" s="156"/>
      <c r="N156" s="156"/>
      <c r="O156" s="15"/>
      <c r="P156" s="15"/>
    </row>
    <row r="157" spans="2:16" x14ac:dyDescent="0.3">
      <c r="B157" s="15"/>
      <c r="C157" s="15"/>
      <c r="D157" s="15"/>
      <c r="E157" s="15"/>
      <c r="F157" s="15"/>
      <c r="G157" s="15"/>
      <c r="H157" s="15"/>
      <c r="I157" s="15"/>
      <c r="J157" s="15"/>
      <c r="K157" s="15"/>
      <c r="L157" s="156"/>
      <c r="M157" s="156"/>
      <c r="N157" s="156"/>
      <c r="O157" s="15"/>
      <c r="P157" s="15"/>
    </row>
    <row r="158" spans="2:16" x14ac:dyDescent="0.3">
      <c r="B158" s="15"/>
      <c r="C158" s="15"/>
      <c r="D158" s="15"/>
      <c r="E158" s="15"/>
      <c r="F158" s="15"/>
      <c r="G158" s="15"/>
      <c r="H158" s="15"/>
      <c r="I158" s="15"/>
      <c r="J158" s="15"/>
      <c r="K158" s="15"/>
      <c r="L158" s="156"/>
      <c r="M158" s="156"/>
      <c r="N158" s="156"/>
      <c r="O158" s="15"/>
      <c r="P158" s="15"/>
    </row>
    <row r="159" spans="2:16" x14ac:dyDescent="0.3">
      <c r="B159" s="15"/>
      <c r="C159" s="15"/>
      <c r="D159" s="15"/>
      <c r="E159" s="15"/>
      <c r="F159" s="15"/>
      <c r="G159" s="15"/>
      <c r="H159" s="15"/>
      <c r="I159" s="15"/>
      <c r="J159" s="15"/>
      <c r="K159" s="15"/>
      <c r="L159" s="156"/>
      <c r="M159" s="156"/>
      <c r="N159" s="156"/>
      <c r="O159" s="15"/>
      <c r="P159" s="15"/>
    </row>
    <row r="160" spans="2:16" x14ac:dyDescent="0.3">
      <c r="B160" s="15"/>
      <c r="C160" s="15"/>
      <c r="D160" s="15"/>
      <c r="E160" s="15"/>
      <c r="F160" s="15"/>
      <c r="G160" s="15"/>
      <c r="H160" s="15"/>
      <c r="I160" s="15"/>
      <c r="J160" s="15"/>
      <c r="K160" s="15"/>
      <c r="L160" s="156"/>
      <c r="M160" s="156"/>
      <c r="N160" s="156"/>
      <c r="O160" s="15"/>
      <c r="P160" s="15"/>
    </row>
    <row r="161" spans="2:16" x14ac:dyDescent="0.3">
      <c r="B161" s="15"/>
      <c r="C161" s="15"/>
      <c r="D161" s="15"/>
      <c r="E161" s="15"/>
      <c r="F161" s="15"/>
      <c r="G161" s="15"/>
      <c r="H161" s="15"/>
      <c r="I161" s="15"/>
      <c r="J161" s="15"/>
      <c r="K161" s="15"/>
      <c r="L161" s="156"/>
      <c r="M161" s="156"/>
      <c r="N161" s="156"/>
      <c r="O161" s="15"/>
      <c r="P161" s="15"/>
    </row>
    <row r="162" spans="2:16" x14ac:dyDescent="0.3">
      <c r="B162" s="15"/>
      <c r="C162" s="15"/>
      <c r="D162" s="15"/>
      <c r="E162" s="15"/>
      <c r="F162" s="15"/>
      <c r="G162" s="15"/>
      <c r="H162" s="15"/>
      <c r="I162" s="15"/>
      <c r="J162" s="15"/>
      <c r="K162" s="15"/>
      <c r="L162" s="156"/>
      <c r="M162" s="156"/>
      <c r="N162" s="156"/>
      <c r="O162" s="15"/>
      <c r="P162" s="15"/>
    </row>
    <row r="163" spans="2:16" x14ac:dyDescent="0.3">
      <c r="B163" s="15"/>
      <c r="C163" s="15"/>
      <c r="D163" s="15"/>
      <c r="E163" s="15"/>
      <c r="F163" s="15"/>
      <c r="G163" s="15"/>
      <c r="H163" s="15"/>
      <c r="I163" s="15"/>
      <c r="J163" s="15"/>
      <c r="K163" s="15"/>
      <c r="L163" s="156"/>
      <c r="M163" s="156"/>
      <c r="N163" s="156"/>
      <c r="O163" s="15"/>
      <c r="P163" s="15"/>
    </row>
    <row r="164" spans="2:16" x14ac:dyDescent="0.3">
      <c r="B164" s="15"/>
      <c r="C164" s="15"/>
      <c r="D164" s="15"/>
      <c r="E164" s="15"/>
      <c r="F164" s="15"/>
      <c r="G164" s="15"/>
      <c r="H164" s="15"/>
      <c r="I164" s="15"/>
      <c r="J164" s="15"/>
      <c r="K164" s="15"/>
      <c r="L164" s="156"/>
      <c r="M164" s="156"/>
      <c r="N164" s="156"/>
      <c r="O164" s="15"/>
      <c r="P164" s="15"/>
    </row>
    <row r="165" spans="2:16" x14ac:dyDescent="0.3">
      <c r="B165" s="15"/>
      <c r="C165" s="15"/>
      <c r="D165" s="15"/>
      <c r="E165" s="15"/>
      <c r="F165" s="15"/>
      <c r="G165" s="15"/>
      <c r="H165" s="15"/>
      <c r="I165" s="15"/>
      <c r="J165" s="15"/>
      <c r="K165" s="15"/>
      <c r="L165" s="156"/>
      <c r="M165" s="156"/>
      <c r="N165" s="156"/>
      <c r="O165" s="15"/>
      <c r="P165" s="15"/>
    </row>
    <row r="166" spans="2:16" x14ac:dyDescent="0.3">
      <c r="B166" s="15"/>
      <c r="C166" s="15"/>
      <c r="D166" s="15"/>
      <c r="E166" s="15"/>
      <c r="F166" s="15"/>
      <c r="G166" s="15"/>
      <c r="H166" s="15"/>
      <c r="I166" s="15"/>
      <c r="J166" s="15"/>
      <c r="K166" s="15"/>
      <c r="L166" s="156"/>
      <c r="M166" s="156"/>
      <c r="N166" s="156"/>
      <c r="O166" s="15"/>
      <c r="P166" s="15"/>
    </row>
    <row r="167" spans="2:16" x14ac:dyDescent="0.3">
      <c r="B167" s="15"/>
      <c r="C167" s="15"/>
      <c r="D167" s="15"/>
      <c r="E167" s="15"/>
      <c r="F167" s="15"/>
      <c r="G167" s="15"/>
      <c r="H167" s="15"/>
      <c r="I167" s="15"/>
      <c r="J167" s="15"/>
      <c r="K167" s="15"/>
      <c r="L167" s="156"/>
      <c r="M167" s="156"/>
      <c r="N167" s="156"/>
      <c r="O167" s="15"/>
      <c r="P167" s="15"/>
    </row>
    <row r="168" spans="2:16" x14ac:dyDescent="0.3">
      <c r="B168" s="15"/>
      <c r="C168" s="15"/>
      <c r="D168" s="15"/>
      <c r="E168" s="15"/>
      <c r="F168" s="15"/>
      <c r="G168" s="15"/>
      <c r="H168" s="15"/>
      <c r="I168" s="15"/>
      <c r="J168" s="15"/>
      <c r="K168" s="15"/>
      <c r="L168" s="156"/>
      <c r="M168" s="156"/>
      <c r="N168" s="156"/>
      <c r="O168" s="15"/>
      <c r="P168" s="15"/>
    </row>
    <row r="169" spans="2:16" x14ac:dyDescent="0.3">
      <c r="B169" s="15"/>
      <c r="C169" s="15"/>
      <c r="D169" s="15"/>
      <c r="E169" s="15"/>
      <c r="F169" s="15"/>
      <c r="G169" s="15"/>
      <c r="H169" s="15"/>
      <c r="I169" s="15"/>
      <c r="J169" s="15"/>
      <c r="K169" s="15"/>
      <c r="L169" s="156"/>
      <c r="M169" s="156"/>
      <c r="N169" s="156"/>
      <c r="O169" s="15"/>
      <c r="P169" s="15"/>
    </row>
    <row r="170" spans="2:16" x14ac:dyDescent="0.3">
      <c r="B170" s="15"/>
      <c r="C170" s="15"/>
      <c r="D170" s="15"/>
      <c r="E170" s="15"/>
      <c r="F170" s="15"/>
      <c r="G170" s="15"/>
      <c r="H170" s="15"/>
      <c r="I170" s="15"/>
      <c r="J170" s="15"/>
      <c r="K170" s="15"/>
      <c r="L170" s="156"/>
      <c r="M170" s="156"/>
      <c r="N170" s="156"/>
      <c r="O170" s="15"/>
      <c r="P170" s="15"/>
    </row>
    <row r="171" spans="2:16" x14ac:dyDescent="0.3">
      <c r="B171" s="15"/>
      <c r="C171" s="15"/>
      <c r="D171" s="15"/>
      <c r="E171" s="15"/>
      <c r="F171" s="15"/>
      <c r="G171" s="15"/>
      <c r="H171" s="15"/>
      <c r="I171" s="15"/>
      <c r="J171" s="15"/>
      <c r="K171" s="15"/>
      <c r="L171" s="156"/>
      <c r="M171" s="156"/>
      <c r="N171" s="156"/>
      <c r="O171" s="15"/>
      <c r="P171" s="15"/>
    </row>
    <row r="172" spans="2:16" x14ac:dyDescent="0.3">
      <c r="B172" s="15"/>
      <c r="C172" s="15"/>
      <c r="D172" s="15"/>
      <c r="E172" s="15"/>
      <c r="F172" s="15"/>
      <c r="G172" s="15"/>
      <c r="H172" s="15"/>
      <c r="I172" s="15"/>
      <c r="J172" s="15"/>
      <c r="K172" s="15"/>
      <c r="L172" s="156"/>
      <c r="M172" s="156"/>
      <c r="N172" s="156"/>
      <c r="O172" s="15"/>
      <c r="P172" s="15"/>
    </row>
    <row r="173" spans="2:16" x14ac:dyDescent="0.3">
      <c r="B173" s="15"/>
      <c r="C173" s="15"/>
      <c r="D173" s="15"/>
      <c r="E173" s="15"/>
      <c r="F173" s="15"/>
      <c r="G173" s="15"/>
      <c r="H173" s="15"/>
      <c r="I173" s="15"/>
      <c r="J173" s="15"/>
      <c r="K173" s="15"/>
      <c r="L173" s="156"/>
      <c r="M173" s="156"/>
      <c r="N173" s="156"/>
      <c r="O173" s="15"/>
      <c r="P173" s="15"/>
    </row>
    <row r="174" spans="2:16" x14ac:dyDescent="0.3">
      <c r="B174" s="15"/>
      <c r="C174" s="15"/>
      <c r="D174" s="15"/>
      <c r="E174" s="15"/>
      <c r="F174" s="15"/>
      <c r="G174" s="15"/>
      <c r="H174" s="15"/>
      <c r="I174" s="15"/>
      <c r="J174" s="15"/>
      <c r="K174" s="15"/>
      <c r="L174" s="156"/>
      <c r="M174" s="156"/>
      <c r="N174" s="156"/>
      <c r="O174" s="15"/>
      <c r="P174" s="15"/>
    </row>
    <row r="175" spans="2:16" x14ac:dyDescent="0.3">
      <c r="B175" s="15"/>
      <c r="C175" s="15"/>
      <c r="D175" s="15"/>
      <c r="E175" s="15"/>
      <c r="F175" s="15"/>
      <c r="G175" s="15"/>
      <c r="H175" s="15"/>
      <c r="I175" s="15"/>
      <c r="J175" s="15"/>
      <c r="K175" s="15"/>
      <c r="L175" s="156"/>
      <c r="M175" s="156"/>
      <c r="N175" s="156"/>
      <c r="O175" s="15"/>
      <c r="P175" s="15"/>
    </row>
    <row r="176" spans="2:16" x14ac:dyDescent="0.3">
      <c r="B176" s="15"/>
      <c r="C176" s="15"/>
      <c r="D176" s="15"/>
      <c r="E176" s="15"/>
      <c r="F176" s="15"/>
      <c r="G176" s="15"/>
      <c r="H176" s="15"/>
      <c r="I176" s="15"/>
      <c r="J176" s="15"/>
      <c r="K176" s="15"/>
      <c r="L176" s="156"/>
      <c r="M176" s="156"/>
      <c r="N176" s="156"/>
      <c r="O176" s="15"/>
      <c r="P176" s="15"/>
    </row>
    <row r="177" spans="2:16" x14ac:dyDescent="0.3">
      <c r="B177" s="15"/>
      <c r="C177" s="15"/>
      <c r="D177" s="15"/>
      <c r="E177" s="15"/>
      <c r="F177" s="15"/>
      <c r="G177" s="15"/>
      <c r="H177" s="15"/>
      <c r="I177" s="15"/>
      <c r="J177" s="15"/>
      <c r="K177" s="15"/>
      <c r="L177" s="156"/>
      <c r="M177" s="156"/>
      <c r="N177" s="156"/>
      <c r="O177" s="15"/>
      <c r="P177" s="15"/>
    </row>
    <row r="178" spans="2:16" x14ac:dyDescent="0.3">
      <c r="B178" s="15"/>
      <c r="C178" s="15"/>
      <c r="D178" s="15"/>
      <c r="E178" s="15"/>
      <c r="F178" s="15"/>
      <c r="G178" s="15"/>
      <c r="H178" s="15"/>
      <c r="I178" s="15"/>
      <c r="J178" s="15"/>
      <c r="K178" s="15"/>
      <c r="L178" s="156"/>
      <c r="M178" s="156"/>
      <c r="N178" s="156"/>
      <c r="O178" s="15"/>
      <c r="P178" s="15"/>
    </row>
    <row r="179" spans="2:16" x14ac:dyDescent="0.3">
      <c r="B179" s="15"/>
      <c r="C179" s="15"/>
      <c r="D179" s="15"/>
      <c r="E179" s="15"/>
      <c r="F179" s="15"/>
      <c r="G179" s="15"/>
      <c r="H179" s="15"/>
      <c r="I179" s="15"/>
      <c r="J179" s="15"/>
      <c r="K179" s="15"/>
      <c r="L179" s="156"/>
      <c r="M179" s="156"/>
      <c r="N179" s="156"/>
      <c r="O179" s="15"/>
      <c r="P179" s="15"/>
    </row>
    <row r="180" spans="2:16" x14ac:dyDescent="0.3">
      <c r="B180" s="15"/>
      <c r="C180" s="15"/>
      <c r="D180" s="15"/>
      <c r="E180" s="15"/>
      <c r="F180" s="15"/>
      <c r="G180" s="15"/>
      <c r="H180" s="15"/>
      <c r="I180" s="15"/>
      <c r="J180" s="15"/>
      <c r="K180" s="15"/>
      <c r="L180" s="156"/>
      <c r="M180" s="156"/>
      <c r="N180" s="156"/>
      <c r="O180" s="15"/>
      <c r="P180" s="15"/>
    </row>
    <row r="181" spans="2:16" x14ac:dyDescent="0.3">
      <c r="B181" s="15"/>
      <c r="C181" s="15"/>
      <c r="D181" s="15"/>
      <c r="E181" s="15"/>
      <c r="F181" s="15"/>
      <c r="G181" s="15"/>
      <c r="H181" s="15"/>
      <c r="I181" s="15"/>
      <c r="J181" s="15"/>
      <c r="K181" s="15"/>
      <c r="L181" s="156"/>
      <c r="M181" s="156"/>
      <c r="N181" s="156"/>
      <c r="O181" s="15"/>
      <c r="P181" s="15"/>
    </row>
    <row r="182" spans="2:16" x14ac:dyDescent="0.3">
      <c r="B182" s="15"/>
      <c r="C182" s="15"/>
      <c r="D182" s="15"/>
      <c r="E182" s="15"/>
      <c r="F182" s="15"/>
      <c r="G182" s="15"/>
      <c r="H182" s="15"/>
      <c r="I182" s="15"/>
      <c r="J182" s="15"/>
      <c r="K182" s="15"/>
      <c r="L182" s="156"/>
      <c r="M182" s="156"/>
      <c r="N182" s="156"/>
      <c r="O182" s="15"/>
      <c r="P182" s="15"/>
    </row>
    <row r="183" spans="2:16" x14ac:dyDescent="0.3">
      <c r="B183" s="15"/>
      <c r="C183" s="15"/>
      <c r="D183" s="15"/>
      <c r="E183" s="15"/>
      <c r="F183" s="15"/>
      <c r="G183" s="15"/>
      <c r="H183" s="15"/>
      <c r="I183" s="15"/>
      <c r="J183" s="15"/>
      <c r="K183" s="15"/>
      <c r="L183" s="156"/>
      <c r="M183" s="156"/>
      <c r="N183" s="156"/>
      <c r="O183" s="15"/>
      <c r="P183" s="15"/>
    </row>
    <row r="184" spans="2:16" x14ac:dyDescent="0.3">
      <c r="B184" s="15"/>
      <c r="C184" s="15"/>
      <c r="D184" s="15"/>
      <c r="E184" s="15"/>
      <c r="F184" s="15"/>
      <c r="G184" s="15"/>
      <c r="H184" s="15"/>
      <c r="I184" s="15"/>
      <c r="J184" s="15"/>
      <c r="K184" s="15"/>
      <c r="L184" s="156"/>
      <c r="M184" s="156"/>
      <c r="N184" s="156"/>
      <c r="O184" s="15"/>
      <c r="P184" s="15"/>
    </row>
    <row r="185" spans="2:16" x14ac:dyDescent="0.3">
      <c r="B185" s="15"/>
      <c r="C185" s="15"/>
      <c r="D185" s="15"/>
      <c r="E185" s="15"/>
      <c r="F185" s="15"/>
      <c r="G185" s="15"/>
      <c r="H185" s="15"/>
      <c r="I185" s="15"/>
      <c r="J185" s="15"/>
      <c r="K185" s="15"/>
      <c r="L185" s="156"/>
      <c r="M185" s="156"/>
      <c r="N185" s="156"/>
      <c r="O185" s="15"/>
      <c r="P185" s="15"/>
    </row>
    <row r="186" spans="2:16" x14ac:dyDescent="0.3">
      <c r="B186" s="15"/>
      <c r="C186" s="15"/>
      <c r="D186" s="15"/>
      <c r="E186" s="15"/>
      <c r="F186" s="15"/>
      <c r="G186" s="15"/>
      <c r="H186" s="15"/>
      <c r="I186" s="15"/>
      <c r="J186" s="15"/>
      <c r="K186" s="15"/>
      <c r="L186" s="156"/>
      <c r="M186" s="156"/>
      <c r="N186" s="156"/>
      <c r="O186" s="15"/>
      <c r="P186" s="15"/>
    </row>
    <row r="187" spans="2:16" x14ac:dyDescent="0.3">
      <c r="B187" s="15"/>
      <c r="C187" s="15"/>
      <c r="D187" s="15"/>
      <c r="E187" s="15"/>
      <c r="F187" s="15"/>
      <c r="G187" s="15"/>
      <c r="H187" s="15"/>
      <c r="I187" s="15"/>
      <c r="J187" s="15"/>
      <c r="K187" s="15"/>
      <c r="L187" s="156"/>
      <c r="M187" s="156"/>
      <c r="N187" s="156"/>
      <c r="O187" s="15"/>
      <c r="P187" s="15"/>
    </row>
    <row r="188" spans="2:16" x14ac:dyDescent="0.3">
      <c r="B188" s="15"/>
      <c r="C188" s="15"/>
      <c r="D188" s="15"/>
      <c r="E188" s="15"/>
      <c r="F188" s="15"/>
      <c r="G188" s="15"/>
      <c r="H188" s="15"/>
      <c r="I188" s="15"/>
      <c r="J188" s="15"/>
      <c r="K188" s="15"/>
      <c r="L188" s="156"/>
      <c r="M188" s="156"/>
      <c r="N188" s="156"/>
      <c r="O188" s="15"/>
      <c r="P188" s="15"/>
    </row>
    <row r="189" spans="2:16" x14ac:dyDescent="0.3">
      <c r="B189" s="15"/>
      <c r="C189" s="15"/>
      <c r="D189" s="15"/>
      <c r="E189" s="15"/>
      <c r="F189" s="15"/>
      <c r="G189" s="15"/>
      <c r="H189" s="15"/>
      <c r="I189" s="15"/>
      <c r="J189" s="15"/>
      <c r="K189" s="15"/>
      <c r="L189" s="156"/>
      <c r="M189" s="156"/>
      <c r="N189" s="156"/>
      <c r="O189" s="15"/>
      <c r="P189" s="15"/>
    </row>
    <row r="190" spans="2:16" x14ac:dyDescent="0.3">
      <c r="B190" s="15"/>
      <c r="C190" s="15"/>
      <c r="D190" s="15"/>
      <c r="E190" s="15"/>
      <c r="F190" s="15"/>
      <c r="G190" s="15"/>
      <c r="H190" s="15"/>
      <c r="I190" s="15"/>
      <c r="J190" s="15"/>
      <c r="K190" s="15"/>
      <c r="L190" s="156"/>
      <c r="M190" s="156"/>
      <c r="N190" s="156"/>
      <c r="O190" s="15"/>
      <c r="P190" s="15"/>
    </row>
    <row r="191" spans="2:16" x14ac:dyDescent="0.3">
      <c r="B191" s="15"/>
      <c r="C191" s="15"/>
      <c r="D191" s="15"/>
      <c r="E191" s="15"/>
      <c r="F191" s="15"/>
      <c r="G191" s="15"/>
      <c r="H191" s="15"/>
      <c r="I191" s="15"/>
      <c r="J191" s="15"/>
      <c r="K191" s="15"/>
      <c r="L191" s="156"/>
      <c r="M191" s="156"/>
      <c r="N191" s="156"/>
      <c r="O191" s="15"/>
      <c r="P191" s="15"/>
    </row>
    <row r="192" spans="2:16" x14ac:dyDescent="0.3">
      <c r="B192" s="15"/>
      <c r="C192" s="15"/>
      <c r="D192" s="15"/>
      <c r="E192" s="15"/>
      <c r="F192" s="15"/>
      <c r="G192" s="15"/>
      <c r="H192" s="15"/>
      <c r="I192" s="15"/>
      <c r="J192" s="15"/>
      <c r="K192" s="15"/>
      <c r="L192" s="156"/>
      <c r="M192" s="156"/>
      <c r="N192" s="156"/>
      <c r="O192" s="15"/>
      <c r="P192" s="15"/>
    </row>
    <row r="193" spans="2:16" x14ac:dyDescent="0.3">
      <c r="B193" s="15"/>
      <c r="C193" s="15"/>
      <c r="D193" s="15"/>
      <c r="E193" s="15"/>
      <c r="F193" s="15"/>
      <c r="G193" s="15"/>
      <c r="H193" s="15"/>
      <c r="I193" s="15"/>
      <c r="J193" s="15"/>
      <c r="K193" s="15"/>
      <c r="O193" s="15"/>
      <c r="P193" s="15"/>
    </row>
    <row r="194" spans="2:16" x14ac:dyDescent="0.3">
      <c r="B194" s="15"/>
      <c r="C194" s="15"/>
      <c r="D194" s="15"/>
      <c r="E194" s="15"/>
      <c r="F194" s="15"/>
      <c r="G194" s="15"/>
      <c r="H194" s="15"/>
      <c r="I194" s="15"/>
      <c r="J194" s="15"/>
      <c r="K194" s="15"/>
      <c r="O194" s="15"/>
      <c r="P194" s="15"/>
    </row>
    <row r="195" spans="2:16" x14ac:dyDescent="0.3">
      <c r="B195" s="15"/>
      <c r="C195" s="15"/>
      <c r="D195" s="15"/>
      <c r="E195" s="15"/>
      <c r="F195" s="15"/>
      <c r="G195" s="15"/>
      <c r="H195" s="15"/>
      <c r="I195" s="15"/>
      <c r="J195" s="15"/>
      <c r="K195" s="15"/>
      <c r="O195" s="15"/>
      <c r="P195" s="15"/>
    </row>
    <row r="196" spans="2:16" x14ac:dyDescent="0.3">
      <c r="B196" s="15"/>
      <c r="C196" s="15"/>
      <c r="D196" s="15"/>
      <c r="E196" s="15"/>
      <c r="F196" s="15"/>
      <c r="G196" s="15"/>
      <c r="H196" s="15"/>
      <c r="I196" s="15"/>
      <c r="J196" s="15"/>
      <c r="K196" s="15"/>
      <c r="O196" s="15"/>
      <c r="P196" s="15"/>
    </row>
    <row r="197" spans="2:16" x14ac:dyDescent="0.3">
      <c r="B197" s="15"/>
      <c r="C197" s="15"/>
      <c r="D197" s="15"/>
      <c r="E197" s="15"/>
      <c r="F197" s="15"/>
      <c r="G197" s="15"/>
      <c r="H197" s="15"/>
      <c r="I197" s="15"/>
      <c r="J197" s="15"/>
      <c r="K197" s="15"/>
      <c r="O197" s="15"/>
      <c r="P197" s="15"/>
    </row>
    <row r="198" spans="2:16" x14ac:dyDescent="0.3">
      <c r="B198" s="15"/>
      <c r="C198" s="15"/>
      <c r="D198" s="15"/>
      <c r="E198" s="15"/>
      <c r="F198" s="15"/>
      <c r="G198" s="15"/>
      <c r="H198" s="15"/>
      <c r="I198" s="15"/>
      <c r="J198" s="15"/>
      <c r="K198" s="15"/>
      <c r="O198" s="15"/>
      <c r="P198" s="15"/>
    </row>
    <row r="199" spans="2:16" x14ac:dyDescent="0.3">
      <c r="B199" s="15"/>
      <c r="C199" s="15"/>
      <c r="D199" s="15"/>
      <c r="E199" s="15"/>
      <c r="F199" s="15"/>
      <c r="G199" s="15"/>
      <c r="H199" s="15"/>
      <c r="I199" s="15"/>
      <c r="J199" s="15"/>
      <c r="K199" s="15"/>
      <c r="O199" s="15"/>
      <c r="P199" s="15"/>
    </row>
    <row r="200" spans="2:16" x14ac:dyDescent="0.3">
      <c r="B200" s="15"/>
      <c r="C200" s="15"/>
      <c r="D200" s="15"/>
      <c r="E200" s="15"/>
      <c r="F200" s="15"/>
      <c r="G200" s="15"/>
      <c r="H200" s="15"/>
      <c r="I200" s="15"/>
      <c r="J200" s="15"/>
      <c r="K200" s="15"/>
      <c r="O200" s="15"/>
      <c r="P200" s="15"/>
    </row>
    <row r="201" spans="2:16" x14ac:dyDescent="0.3">
      <c r="B201" s="15"/>
      <c r="C201" s="15"/>
      <c r="D201" s="15"/>
      <c r="E201" s="15"/>
      <c r="F201" s="15"/>
      <c r="G201" s="15"/>
      <c r="H201" s="15"/>
      <c r="I201" s="15"/>
      <c r="J201" s="15"/>
      <c r="K201" s="15"/>
      <c r="O201" s="15"/>
      <c r="P201" s="15"/>
    </row>
    <row r="202" spans="2:16" x14ac:dyDescent="0.3">
      <c r="B202" s="15"/>
      <c r="C202" s="15"/>
      <c r="D202" s="15"/>
      <c r="E202" s="15"/>
      <c r="F202" s="15"/>
      <c r="G202" s="15"/>
      <c r="H202" s="15"/>
      <c r="I202" s="15"/>
      <c r="J202" s="15"/>
      <c r="K202" s="15"/>
      <c r="O202" s="15"/>
      <c r="P202" s="15"/>
    </row>
    <row r="203" spans="2:16" x14ac:dyDescent="0.3">
      <c r="B203" s="15"/>
      <c r="C203" s="15"/>
      <c r="D203" s="15"/>
      <c r="E203" s="15"/>
      <c r="F203" s="15"/>
      <c r="G203" s="15"/>
      <c r="H203" s="15"/>
      <c r="I203" s="15"/>
      <c r="J203" s="15"/>
      <c r="K203" s="15"/>
      <c r="O203" s="15"/>
      <c r="P203" s="15"/>
    </row>
    <row r="204" spans="2:16" x14ac:dyDescent="0.3">
      <c r="B204" s="15"/>
      <c r="C204" s="15"/>
      <c r="D204" s="15"/>
      <c r="E204" s="15"/>
      <c r="F204" s="15"/>
      <c r="G204" s="15"/>
      <c r="H204" s="15"/>
      <c r="I204" s="15"/>
      <c r="J204" s="15"/>
      <c r="K204" s="15"/>
      <c r="O204" s="15"/>
      <c r="P204" s="15"/>
    </row>
    <row r="205" spans="2:16" x14ac:dyDescent="0.3">
      <c r="B205" s="15"/>
      <c r="C205" s="15"/>
      <c r="D205" s="15"/>
      <c r="E205" s="15"/>
      <c r="F205" s="15"/>
      <c r="G205" s="15"/>
      <c r="H205" s="15"/>
      <c r="I205" s="15"/>
      <c r="J205" s="15"/>
      <c r="K205" s="15"/>
      <c r="O205" s="15"/>
      <c r="P205" s="15"/>
    </row>
    <row r="206" spans="2:16" x14ac:dyDescent="0.3">
      <c r="B206" s="15"/>
      <c r="C206" s="15"/>
      <c r="D206" s="15"/>
      <c r="E206" s="15"/>
      <c r="F206" s="15"/>
      <c r="G206" s="15"/>
      <c r="H206" s="15"/>
      <c r="I206" s="15"/>
      <c r="J206" s="15"/>
      <c r="K206" s="15"/>
      <c r="O206" s="15"/>
      <c r="P206" s="15"/>
    </row>
    <row r="207" spans="2:16" x14ac:dyDescent="0.3">
      <c r="B207" s="15"/>
      <c r="C207" s="15"/>
      <c r="D207" s="15"/>
      <c r="E207" s="15"/>
      <c r="F207" s="15"/>
      <c r="G207" s="15"/>
      <c r="H207" s="15"/>
      <c r="I207" s="15"/>
      <c r="J207" s="15"/>
      <c r="K207" s="15"/>
      <c r="O207" s="15"/>
      <c r="P207" s="15"/>
    </row>
    <row r="208" spans="2:16" x14ac:dyDescent="0.3">
      <c r="B208" s="15"/>
      <c r="C208" s="15"/>
      <c r="D208" s="15"/>
      <c r="E208" s="15"/>
      <c r="F208" s="15"/>
      <c r="G208" s="15"/>
      <c r="H208" s="15"/>
      <c r="I208" s="15"/>
      <c r="J208" s="15"/>
      <c r="K208" s="15"/>
      <c r="O208" s="15"/>
      <c r="P208" s="15"/>
    </row>
    <row r="209" spans="2:16" x14ac:dyDescent="0.3">
      <c r="B209" s="15"/>
      <c r="C209" s="15"/>
      <c r="D209" s="15"/>
      <c r="E209" s="15"/>
      <c r="F209" s="15"/>
      <c r="G209" s="15"/>
      <c r="H209" s="15"/>
      <c r="I209" s="15"/>
      <c r="J209" s="15"/>
      <c r="K209" s="15"/>
      <c r="O209" s="15"/>
      <c r="P209" s="15"/>
    </row>
    <row r="210" spans="2:16" x14ac:dyDescent="0.3">
      <c r="B210" s="15"/>
      <c r="C210" s="15"/>
      <c r="D210" s="15"/>
      <c r="E210" s="15"/>
      <c r="F210" s="15"/>
      <c r="G210" s="15"/>
      <c r="H210" s="15"/>
      <c r="I210" s="15"/>
      <c r="J210" s="15"/>
      <c r="K210" s="15"/>
      <c r="O210" s="15"/>
      <c r="P210" s="15"/>
    </row>
    <row r="211" spans="2:16" x14ac:dyDescent="0.3">
      <c r="B211" s="15"/>
      <c r="C211" s="15"/>
      <c r="D211" s="15"/>
      <c r="E211" s="15"/>
      <c r="F211" s="15"/>
      <c r="G211" s="15"/>
      <c r="H211" s="15"/>
      <c r="I211" s="15"/>
      <c r="J211" s="15"/>
      <c r="K211" s="15"/>
      <c r="O211" s="15"/>
      <c r="P211" s="15"/>
    </row>
    <row r="212" spans="2:16" x14ac:dyDescent="0.3">
      <c r="B212" s="15"/>
      <c r="C212" s="15"/>
      <c r="D212" s="15"/>
      <c r="E212" s="15"/>
      <c r="F212" s="15"/>
      <c r="G212" s="15"/>
      <c r="H212" s="15"/>
      <c r="I212" s="15"/>
      <c r="J212" s="15"/>
      <c r="K212" s="15"/>
      <c r="O212" s="15"/>
      <c r="P212" s="15"/>
    </row>
    <row r="213" spans="2:16" x14ac:dyDescent="0.3">
      <c r="B213" s="15"/>
      <c r="C213" s="15"/>
      <c r="D213" s="15"/>
      <c r="E213" s="15"/>
      <c r="F213" s="15"/>
      <c r="G213" s="15"/>
      <c r="H213" s="15"/>
      <c r="I213" s="15"/>
      <c r="J213" s="15"/>
      <c r="K213" s="15"/>
      <c r="O213" s="15"/>
      <c r="P213" s="15"/>
    </row>
    <row r="214" spans="2:16" x14ac:dyDescent="0.3">
      <c r="B214" s="15"/>
      <c r="C214" s="15"/>
      <c r="D214" s="15"/>
      <c r="E214" s="15"/>
      <c r="F214" s="15"/>
      <c r="G214" s="15"/>
      <c r="H214" s="15"/>
      <c r="I214" s="15"/>
      <c r="J214" s="15"/>
      <c r="K214" s="15"/>
      <c r="O214" s="15"/>
      <c r="P214" s="15"/>
    </row>
    <row r="215" spans="2:16" x14ac:dyDescent="0.3">
      <c r="B215" s="15"/>
      <c r="C215" s="15"/>
      <c r="D215" s="15"/>
      <c r="E215" s="15"/>
      <c r="F215" s="15"/>
      <c r="G215" s="15"/>
      <c r="H215" s="15"/>
      <c r="I215" s="15"/>
      <c r="J215" s="15"/>
      <c r="K215" s="15"/>
      <c r="O215" s="15"/>
      <c r="P215" s="15"/>
    </row>
    <row r="216" spans="2:16" x14ac:dyDescent="0.3">
      <c r="B216" s="15"/>
      <c r="C216" s="15"/>
      <c r="D216" s="15"/>
      <c r="E216" s="15"/>
      <c r="F216" s="15"/>
      <c r="G216" s="15"/>
      <c r="H216" s="15"/>
      <c r="I216" s="15"/>
      <c r="J216" s="15"/>
      <c r="K216" s="15"/>
      <c r="O216" s="15"/>
      <c r="P216" s="15"/>
    </row>
    <row r="217" spans="2:16" x14ac:dyDescent="0.3">
      <c r="B217" s="15"/>
      <c r="C217" s="15"/>
      <c r="D217" s="15"/>
      <c r="E217" s="15"/>
      <c r="F217" s="15"/>
      <c r="G217" s="15"/>
      <c r="H217" s="15"/>
      <c r="I217" s="15"/>
      <c r="J217" s="15"/>
      <c r="K217" s="15"/>
      <c r="O217" s="15"/>
      <c r="P217" s="15"/>
    </row>
    <row r="218" spans="2:16" x14ac:dyDescent="0.3">
      <c r="B218" s="15"/>
      <c r="C218" s="15"/>
      <c r="D218" s="15"/>
      <c r="E218" s="15"/>
      <c r="F218" s="15"/>
      <c r="G218" s="15"/>
      <c r="H218" s="15"/>
      <c r="I218" s="15"/>
      <c r="J218" s="15"/>
      <c r="K218" s="15"/>
      <c r="O218" s="15"/>
      <c r="P218" s="15"/>
    </row>
    <row r="219" spans="2:16" x14ac:dyDescent="0.3">
      <c r="B219" s="15"/>
      <c r="C219" s="15"/>
      <c r="D219" s="15"/>
      <c r="E219" s="15"/>
      <c r="F219" s="15"/>
      <c r="G219" s="15"/>
      <c r="H219" s="15"/>
      <c r="I219" s="15"/>
      <c r="J219" s="15"/>
      <c r="K219" s="15"/>
      <c r="O219" s="15"/>
      <c r="P219" s="15"/>
    </row>
    <row r="220" spans="2:16" x14ac:dyDescent="0.3">
      <c r="B220" s="15"/>
      <c r="C220" s="15"/>
      <c r="D220" s="15"/>
      <c r="E220" s="15"/>
      <c r="F220" s="15"/>
      <c r="G220" s="15"/>
      <c r="H220" s="15"/>
      <c r="I220" s="15"/>
      <c r="J220" s="15"/>
      <c r="K220" s="15"/>
      <c r="O220" s="15"/>
      <c r="P220" s="15"/>
    </row>
    <row r="221" spans="2:16" x14ac:dyDescent="0.3">
      <c r="B221" s="15"/>
      <c r="C221" s="15"/>
      <c r="D221" s="15"/>
      <c r="E221" s="15"/>
      <c r="F221" s="15"/>
      <c r="G221" s="15"/>
      <c r="H221" s="15"/>
      <c r="I221" s="15"/>
      <c r="J221" s="15"/>
      <c r="K221" s="15"/>
      <c r="O221" s="15"/>
      <c r="P221" s="15"/>
    </row>
    <row r="222" spans="2:16" x14ac:dyDescent="0.3">
      <c r="B222" s="15"/>
      <c r="C222" s="15"/>
      <c r="D222" s="15"/>
      <c r="E222" s="15"/>
      <c r="F222" s="15"/>
      <c r="G222" s="15"/>
      <c r="H222" s="15"/>
      <c r="I222" s="15"/>
      <c r="J222" s="15"/>
      <c r="K222" s="15"/>
      <c r="O222" s="15"/>
      <c r="P222" s="15"/>
    </row>
    <row r="223" spans="2:16" x14ac:dyDescent="0.3">
      <c r="B223" s="15"/>
      <c r="C223" s="15"/>
      <c r="D223" s="15"/>
      <c r="E223" s="15"/>
      <c r="F223" s="15"/>
      <c r="G223" s="15"/>
      <c r="H223" s="15"/>
      <c r="I223" s="15"/>
      <c r="J223" s="15"/>
      <c r="K223" s="15"/>
      <c r="O223" s="15"/>
      <c r="P223" s="15"/>
    </row>
    <row r="224" spans="2:16" x14ac:dyDescent="0.3">
      <c r="B224" s="15"/>
      <c r="C224" s="15"/>
      <c r="D224" s="15"/>
      <c r="E224" s="15"/>
      <c r="F224" s="15"/>
      <c r="G224" s="15"/>
      <c r="H224" s="15"/>
      <c r="I224" s="15"/>
      <c r="J224" s="15"/>
      <c r="K224" s="15"/>
      <c r="O224" s="15"/>
      <c r="P224" s="15"/>
    </row>
    <row r="225" spans="2:16" x14ac:dyDescent="0.3">
      <c r="B225" s="15"/>
      <c r="C225" s="15"/>
      <c r="D225" s="15"/>
      <c r="E225" s="15"/>
      <c r="F225" s="15"/>
      <c r="G225" s="15"/>
      <c r="H225" s="15"/>
      <c r="I225" s="15"/>
      <c r="J225" s="15"/>
      <c r="K225" s="15"/>
      <c r="O225" s="15"/>
      <c r="P225" s="15"/>
    </row>
    <row r="226" spans="2:16" x14ac:dyDescent="0.3">
      <c r="B226" s="15"/>
      <c r="C226" s="15"/>
      <c r="D226" s="15"/>
      <c r="E226" s="15"/>
      <c r="F226" s="15"/>
      <c r="G226" s="15"/>
      <c r="H226" s="15"/>
      <c r="I226" s="15"/>
      <c r="J226" s="15"/>
      <c r="K226" s="15"/>
      <c r="O226" s="15"/>
      <c r="P226" s="15"/>
    </row>
    <row r="227" spans="2:16" x14ac:dyDescent="0.3">
      <c r="B227" s="15"/>
      <c r="C227" s="15"/>
      <c r="D227" s="15"/>
      <c r="E227" s="15"/>
      <c r="F227" s="15"/>
      <c r="G227" s="15"/>
      <c r="H227" s="15"/>
      <c r="I227" s="15"/>
      <c r="J227" s="15"/>
      <c r="K227" s="15"/>
      <c r="O227" s="15"/>
      <c r="P227" s="15"/>
    </row>
    <row r="228" spans="2:16" x14ac:dyDescent="0.3">
      <c r="B228" s="15"/>
      <c r="C228" s="15"/>
      <c r="D228" s="15"/>
      <c r="E228" s="15"/>
      <c r="F228" s="15"/>
      <c r="G228" s="15"/>
      <c r="H228" s="15"/>
      <c r="I228" s="15"/>
      <c r="J228" s="15"/>
      <c r="K228" s="15"/>
      <c r="O228" s="15"/>
      <c r="P228" s="15"/>
    </row>
    <row r="229" spans="2:16" x14ac:dyDescent="0.3">
      <c r="B229" s="15"/>
      <c r="C229" s="15"/>
      <c r="D229" s="15"/>
      <c r="E229" s="15"/>
      <c r="F229" s="15"/>
      <c r="G229" s="15"/>
      <c r="H229" s="15"/>
      <c r="I229" s="15"/>
      <c r="J229" s="15"/>
      <c r="K229" s="15"/>
      <c r="O229" s="15"/>
      <c r="P229" s="15"/>
    </row>
    <row r="230" spans="2:16" x14ac:dyDescent="0.3">
      <c r="B230" s="15"/>
      <c r="C230" s="15"/>
      <c r="D230" s="15"/>
      <c r="E230" s="15"/>
      <c r="F230" s="15"/>
      <c r="G230" s="15"/>
      <c r="H230" s="15"/>
      <c r="I230" s="15"/>
      <c r="J230" s="15"/>
      <c r="K230" s="15"/>
      <c r="O230" s="15"/>
      <c r="P230" s="15"/>
    </row>
    <row r="231" spans="2:16" x14ac:dyDescent="0.3">
      <c r="B231" s="15"/>
      <c r="C231" s="15"/>
      <c r="D231" s="15"/>
      <c r="E231" s="15"/>
      <c r="F231" s="15"/>
      <c r="G231" s="15"/>
      <c r="H231" s="15"/>
      <c r="I231" s="15"/>
      <c r="J231" s="15"/>
      <c r="K231" s="15"/>
      <c r="O231" s="15"/>
      <c r="P231" s="15"/>
    </row>
    <row r="232" spans="2:16" x14ac:dyDescent="0.3">
      <c r="B232" s="15"/>
      <c r="C232" s="15"/>
      <c r="D232" s="15"/>
      <c r="E232" s="15"/>
      <c r="F232" s="15"/>
      <c r="G232" s="15"/>
      <c r="H232" s="15"/>
      <c r="I232" s="15"/>
      <c r="J232" s="15"/>
      <c r="K232" s="15"/>
      <c r="O232" s="15"/>
      <c r="P232" s="15"/>
    </row>
    <row r="233" spans="2:16" x14ac:dyDescent="0.3">
      <c r="B233" s="15"/>
      <c r="C233" s="15"/>
      <c r="D233" s="15"/>
      <c r="E233" s="15"/>
      <c r="F233" s="15"/>
      <c r="G233" s="15"/>
      <c r="H233" s="15"/>
      <c r="I233" s="15"/>
      <c r="J233" s="15"/>
      <c r="K233" s="15"/>
      <c r="O233" s="15"/>
      <c r="P233" s="15"/>
    </row>
    <row r="234" spans="2:16" x14ac:dyDescent="0.3">
      <c r="B234" s="15"/>
      <c r="C234" s="15"/>
      <c r="D234" s="15"/>
      <c r="E234" s="15"/>
      <c r="F234" s="15"/>
      <c r="G234" s="15"/>
      <c r="H234" s="15"/>
      <c r="I234" s="15"/>
      <c r="J234" s="15"/>
      <c r="K234" s="15"/>
      <c r="O234" s="15"/>
      <c r="P234" s="15"/>
    </row>
    <row r="235" spans="2:16" x14ac:dyDescent="0.3">
      <c r="B235" s="15"/>
      <c r="C235" s="15"/>
      <c r="D235" s="15"/>
      <c r="E235" s="15"/>
      <c r="F235" s="15"/>
      <c r="G235" s="15"/>
      <c r="H235" s="15"/>
      <c r="I235" s="15"/>
      <c r="J235" s="15"/>
      <c r="K235" s="15"/>
      <c r="O235" s="15"/>
      <c r="P235" s="15"/>
    </row>
    <row r="236" spans="2:16" x14ac:dyDescent="0.3">
      <c r="B236" s="15"/>
      <c r="C236" s="15"/>
      <c r="D236" s="15"/>
      <c r="E236" s="15"/>
      <c r="F236" s="15"/>
      <c r="G236" s="15"/>
      <c r="H236" s="15"/>
      <c r="I236" s="15"/>
      <c r="J236" s="15"/>
      <c r="K236" s="15"/>
      <c r="O236" s="15"/>
      <c r="P236" s="15"/>
    </row>
    <row r="237" spans="2:16" x14ac:dyDescent="0.3">
      <c r="B237" s="15"/>
      <c r="C237" s="15"/>
      <c r="D237" s="15"/>
      <c r="E237" s="15"/>
      <c r="F237" s="15"/>
      <c r="G237" s="15"/>
      <c r="H237" s="15"/>
      <c r="I237" s="15"/>
      <c r="J237" s="15"/>
      <c r="K237" s="15"/>
      <c r="O237" s="15"/>
      <c r="P237" s="15"/>
    </row>
    <row r="238" spans="2:16" x14ac:dyDescent="0.3">
      <c r="B238" s="15"/>
      <c r="C238" s="15"/>
      <c r="D238" s="15"/>
      <c r="E238" s="15"/>
      <c r="F238" s="15"/>
      <c r="G238" s="15"/>
      <c r="H238" s="15"/>
      <c r="I238" s="15"/>
      <c r="J238" s="15"/>
      <c r="K238" s="15"/>
      <c r="O238" s="15"/>
      <c r="P238" s="15"/>
    </row>
    <row r="239" spans="2:16" x14ac:dyDescent="0.3">
      <c r="B239" s="15"/>
      <c r="C239" s="15"/>
      <c r="D239" s="15"/>
      <c r="E239" s="15"/>
      <c r="F239" s="15"/>
      <c r="G239" s="15"/>
      <c r="H239" s="15"/>
      <c r="I239" s="15"/>
      <c r="J239" s="15"/>
      <c r="K239" s="15"/>
      <c r="O239" s="15"/>
      <c r="P239" s="15"/>
    </row>
    <row r="240" spans="2:16" x14ac:dyDescent="0.3">
      <c r="B240" s="15"/>
      <c r="C240" s="15"/>
      <c r="D240" s="15"/>
      <c r="E240" s="15"/>
      <c r="F240" s="15"/>
      <c r="G240" s="15"/>
      <c r="H240" s="15"/>
      <c r="I240" s="15"/>
      <c r="J240" s="15"/>
      <c r="K240" s="15"/>
      <c r="O240" s="15"/>
      <c r="P240" s="15"/>
    </row>
    <row r="241" spans="2:16" x14ac:dyDescent="0.3">
      <c r="B241" s="15"/>
      <c r="C241" s="15"/>
      <c r="D241" s="15"/>
      <c r="E241" s="15"/>
      <c r="F241" s="15"/>
      <c r="G241" s="15"/>
      <c r="H241" s="15"/>
      <c r="I241" s="15"/>
      <c r="J241" s="15"/>
      <c r="K241" s="15"/>
      <c r="O241" s="15"/>
      <c r="P241" s="15"/>
    </row>
    <row r="242" spans="2:16" x14ac:dyDescent="0.3">
      <c r="B242" s="15"/>
      <c r="C242" s="15"/>
      <c r="D242" s="15"/>
      <c r="E242" s="15"/>
      <c r="F242" s="15"/>
      <c r="G242" s="15"/>
      <c r="H242" s="15"/>
      <c r="I242" s="15"/>
      <c r="J242" s="15"/>
      <c r="K242" s="15"/>
      <c r="O242" s="15"/>
      <c r="P242" s="15"/>
    </row>
    <row r="243" spans="2:16" x14ac:dyDescent="0.3">
      <c r="B243" s="15"/>
      <c r="C243" s="15"/>
      <c r="D243" s="15"/>
      <c r="E243" s="15"/>
      <c r="F243" s="15"/>
      <c r="G243" s="15"/>
      <c r="H243" s="15"/>
      <c r="I243" s="15"/>
      <c r="J243" s="15"/>
      <c r="K243" s="15"/>
      <c r="O243" s="15"/>
      <c r="P243" s="15"/>
    </row>
    <row r="244" spans="2:16" x14ac:dyDescent="0.3">
      <c r="B244" s="15"/>
      <c r="C244" s="15"/>
      <c r="D244" s="15"/>
      <c r="E244" s="15"/>
      <c r="F244" s="15"/>
      <c r="G244" s="15"/>
      <c r="H244" s="15"/>
      <c r="I244" s="15"/>
      <c r="J244" s="15"/>
      <c r="K244" s="15"/>
      <c r="O244" s="15"/>
      <c r="P244" s="15"/>
    </row>
    <row r="245" spans="2:16" x14ac:dyDescent="0.3">
      <c r="B245" s="15"/>
      <c r="C245" s="15"/>
      <c r="D245" s="15"/>
      <c r="E245" s="15"/>
      <c r="F245" s="15"/>
      <c r="G245" s="15"/>
      <c r="H245" s="15"/>
      <c r="I245" s="15"/>
      <c r="J245" s="15"/>
      <c r="K245" s="15"/>
      <c r="O245" s="15"/>
      <c r="P245" s="15"/>
    </row>
    <row r="246" spans="2:16" x14ac:dyDescent="0.3">
      <c r="B246" s="15"/>
      <c r="C246" s="15"/>
      <c r="D246" s="15"/>
      <c r="E246" s="15"/>
      <c r="F246" s="15"/>
      <c r="G246" s="15"/>
      <c r="H246" s="15"/>
      <c r="I246" s="15"/>
      <c r="J246" s="15"/>
      <c r="K246" s="15"/>
      <c r="O246" s="15"/>
      <c r="P246" s="15"/>
    </row>
    <row r="247" spans="2:16" x14ac:dyDescent="0.3">
      <c r="B247" s="15"/>
      <c r="C247" s="15"/>
      <c r="D247" s="15"/>
      <c r="E247" s="15"/>
      <c r="F247" s="15"/>
      <c r="G247" s="15"/>
      <c r="H247" s="15"/>
      <c r="I247" s="15"/>
      <c r="J247" s="15"/>
      <c r="K247" s="15"/>
      <c r="O247" s="15"/>
      <c r="P247" s="15"/>
    </row>
    <row r="248" spans="2:16" x14ac:dyDescent="0.3">
      <c r="B248" s="15"/>
      <c r="C248" s="15"/>
      <c r="D248" s="15"/>
      <c r="E248" s="15"/>
      <c r="F248" s="15"/>
      <c r="G248" s="15"/>
      <c r="H248" s="15"/>
      <c r="I248" s="15"/>
      <c r="J248" s="15"/>
      <c r="K248" s="15"/>
      <c r="O248" s="15"/>
      <c r="P248" s="15"/>
    </row>
    <row r="249" spans="2:16" x14ac:dyDescent="0.3">
      <c r="B249" s="15"/>
      <c r="C249" s="15"/>
      <c r="D249" s="15"/>
      <c r="E249" s="15"/>
      <c r="F249" s="15"/>
      <c r="G249" s="15"/>
      <c r="H249" s="15"/>
      <c r="I249" s="15"/>
      <c r="J249" s="15"/>
      <c r="K249" s="15"/>
      <c r="O249" s="15"/>
      <c r="P249" s="15"/>
    </row>
    <row r="250" spans="2:16" x14ac:dyDescent="0.3">
      <c r="B250" s="15"/>
      <c r="C250" s="15"/>
      <c r="D250" s="15"/>
      <c r="E250" s="15"/>
      <c r="F250" s="15"/>
      <c r="G250" s="15"/>
      <c r="H250" s="15"/>
      <c r="I250" s="15"/>
      <c r="J250" s="15"/>
      <c r="K250" s="15"/>
      <c r="O250" s="15"/>
      <c r="P250" s="15"/>
    </row>
    <row r="251" spans="2:16" x14ac:dyDescent="0.3">
      <c r="B251" s="15"/>
      <c r="C251" s="15"/>
      <c r="D251" s="15"/>
      <c r="E251" s="15"/>
      <c r="F251" s="15"/>
      <c r="G251" s="15"/>
      <c r="H251" s="15"/>
      <c r="I251" s="15"/>
      <c r="J251" s="15"/>
      <c r="K251" s="15"/>
      <c r="O251" s="15"/>
      <c r="P251" s="15"/>
    </row>
    <row r="252" spans="2:16" x14ac:dyDescent="0.3">
      <c r="B252" s="15"/>
      <c r="C252" s="15"/>
      <c r="D252" s="15"/>
      <c r="E252" s="15"/>
      <c r="F252" s="15"/>
      <c r="G252" s="15"/>
      <c r="H252" s="15"/>
      <c r="I252" s="15"/>
      <c r="J252" s="15"/>
      <c r="K252" s="15"/>
      <c r="O252" s="15"/>
      <c r="P252" s="15"/>
    </row>
    <row r="253" spans="2:16" x14ac:dyDescent="0.3">
      <c r="B253" s="15"/>
      <c r="C253" s="15"/>
      <c r="D253" s="15"/>
      <c r="E253" s="15"/>
      <c r="F253" s="15"/>
      <c r="G253" s="15"/>
      <c r="H253" s="15"/>
      <c r="I253" s="15"/>
      <c r="J253" s="15"/>
      <c r="K253" s="15"/>
      <c r="O253" s="15"/>
      <c r="P253" s="15"/>
    </row>
    <row r="254" spans="2:16" x14ac:dyDescent="0.3">
      <c r="B254" s="15"/>
      <c r="C254" s="15"/>
      <c r="D254" s="15"/>
      <c r="E254" s="15"/>
      <c r="F254" s="15"/>
      <c r="G254" s="15"/>
      <c r="H254" s="15"/>
      <c r="I254" s="15"/>
      <c r="J254" s="15"/>
      <c r="K254" s="15"/>
      <c r="O254" s="15"/>
      <c r="P254" s="15"/>
    </row>
    <row r="255" spans="2:16" x14ac:dyDescent="0.3">
      <c r="B255" s="15"/>
      <c r="C255" s="15"/>
      <c r="D255" s="15"/>
      <c r="E255" s="15"/>
      <c r="F255" s="15"/>
      <c r="G255" s="15"/>
      <c r="H255" s="15"/>
      <c r="I255" s="15"/>
      <c r="J255" s="15"/>
      <c r="K255" s="15"/>
      <c r="O255" s="15"/>
      <c r="P255" s="15"/>
    </row>
    <row r="256" spans="2:16" x14ac:dyDescent="0.3">
      <c r="B256" s="15"/>
      <c r="C256" s="15"/>
      <c r="D256" s="15"/>
      <c r="E256" s="15"/>
      <c r="F256" s="15"/>
      <c r="G256" s="15"/>
      <c r="H256" s="15"/>
      <c r="I256" s="15"/>
      <c r="J256" s="15"/>
      <c r="K256" s="15"/>
      <c r="O256" s="15"/>
      <c r="P256" s="15"/>
    </row>
    <row r="257" spans="2:16" x14ac:dyDescent="0.3">
      <c r="B257" s="15"/>
      <c r="C257" s="15"/>
      <c r="D257" s="15"/>
      <c r="E257" s="15"/>
      <c r="F257" s="15"/>
      <c r="G257" s="15"/>
      <c r="H257" s="15"/>
      <c r="I257" s="15"/>
      <c r="J257" s="15"/>
      <c r="K257" s="15"/>
      <c r="O257" s="15"/>
      <c r="P257" s="15"/>
    </row>
    <row r="258" spans="2:16" x14ac:dyDescent="0.3">
      <c r="B258" s="15"/>
      <c r="C258" s="15"/>
      <c r="D258" s="15"/>
      <c r="E258" s="15"/>
      <c r="F258" s="15"/>
      <c r="G258" s="15"/>
      <c r="H258" s="15"/>
      <c r="I258" s="15"/>
      <c r="J258" s="15"/>
      <c r="K258" s="15"/>
      <c r="O258" s="15"/>
      <c r="P258" s="15"/>
    </row>
    <row r="259" spans="2:16" x14ac:dyDescent="0.3">
      <c r="B259" s="15"/>
      <c r="C259" s="15"/>
      <c r="D259" s="15"/>
      <c r="E259" s="15"/>
      <c r="F259" s="15"/>
      <c r="G259" s="15"/>
      <c r="H259" s="15"/>
      <c r="I259" s="15"/>
      <c r="J259" s="15"/>
      <c r="K259" s="15"/>
      <c r="O259" s="15"/>
      <c r="P259" s="15"/>
    </row>
    <row r="260" spans="2:16" x14ac:dyDescent="0.3">
      <c r="B260" s="15"/>
      <c r="C260" s="15"/>
      <c r="D260" s="15"/>
      <c r="E260" s="15"/>
      <c r="F260" s="15"/>
      <c r="G260" s="15"/>
      <c r="H260" s="15"/>
      <c r="I260" s="15"/>
      <c r="J260" s="15"/>
      <c r="K260" s="15"/>
      <c r="O260" s="15"/>
      <c r="P260" s="15"/>
    </row>
    <row r="261" spans="2:16" x14ac:dyDescent="0.3">
      <c r="B261" s="15"/>
      <c r="C261" s="15"/>
      <c r="D261" s="15"/>
      <c r="E261" s="15"/>
      <c r="F261" s="15"/>
      <c r="G261" s="15"/>
      <c r="H261" s="15"/>
      <c r="I261" s="15"/>
      <c r="J261" s="15"/>
      <c r="K261" s="15"/>
      <c r="O261" s="15"/>
      <c r="P261" s="15"/>
    </row>
    <row r="262" spans="2:16" x14ac:dyDescent="0.3">
      <c r="B262" s="15"/>
      <c r="C262" s="15"/>
      <c r="D262" s="15"/>
      <c r="E262" s="15"/>
      <c r="F262" s="15"/>
      <c r="G262" s="15"/>
      <c r="H262" s="15"/>
      <c r="I262" s="15"/>
      <c r="J262" s="15"/>
      <c r="K262" s="15"/>
      <c r="O262" s="15"/>
      <c r="P262" s="15"/>
    </row>
    <row r="263" spans="2:16" x14ac:dyDescent="0.3">
      <c r="B263" s="15"/>
      <c r="C263" s="15"/>
      <c r="D263" s="15"/>
      <c r="E263" s="15"/>
      <c r="F263" s="15"/>
      <c r="G263" s="15"/>
      <c r="H263" s="15"/>
      <c r="I263" s="15"/>
      <c r="J263" s="15"/>
      <c r="K263" s="15"/>
      <c r="O263" s="15"/>
      <c r="P263" s="15"/>
    </row>
    <row r="264" spans="2:16" x14ac:dyDescent="0.3">
      <c r="B264" s="15"/>
      <c r="C264" s="15"/>
      <c r="D264" s="15"/>
      <c r="E264" s="15"/>
      <c r="F264" s="15"/>
      <c r="G264" s="15"/>
      <c r="H264" s="15"/>
      <c r="I264" s="15"/>
      <c r="J264" s="15"/>
      <c r="K264" s="15"/>
      <c r="O264" s="15"/>
      <c r="P264" s="15"/>
    </row>
    <row r="265" spans="2:16" x14ac:dyDescent="0.3">
      <c r="B265" s="15"/>
      <c r="C265" s="15"/>
      <c r="D265" s="15"/>
      <c r="E265" s="15"/>
      <c r="F265" s="15"/>
      <c r="G265" s="15"/>
      <c r="H265" s="15"/>
      <c r="I265" s="15"/>
      <c r="J265" s="15"/>
      <c r="K265" s="15"/>
      <c r="O265" s="15"/>
      <c r="P265" s="15"/>
    </row>
    <row r="266" spans="2:16" x14ac:dyDescent="0.3">
      <c r="B266" s="15"/>
      <c r="C266" s="15"/>
      <c r="D266" s="15"/>
      <c r="E266" s="15"/>
      <c r="F266" s="15"/>
      <c r="G266" s="15"/>
      <c r="H266" s="15"/>
      <c r="I266" s="15"/>
      <c r="J266" s="15"/>
      <c r="K266" s="15"/>
      <c r="O266" s="15"/>
      <c r="P266" s="15"/>
    </row>
    <row r="267" spans="2:16" x14ac:dyDescent="0.3">
      <c r="B267" s="15"/>
      <c r="C267" s="15"/>
      <c r="D267" s="15"/>
      <c r="E267" s="15"/>
      <c r="F267" s="15"/>
      <c r="G267" s="15"/>
      <c r="H267" s="15"/>
      <c r="I267" s="15"/>
      <c r="J267" s="15"/>
      <c r="K267" s="15"/>
      <c r="O267" s="15"/>
      <c r="P267" s="15"/>
    </row>
    <row r="268" spans="2:16" x14ac:dyDescent="0.3">
      <c r="B268" s="15"/>
      <c r="C268" s="15"/>
      <c r="D268" s="15"/>
      <c r="E268" s="15"/>
      <c r="F268" s="15"/>
      <c r="G268" s="15"/>
      <c r="H268" s="15"/>
      <c r="I268" s="15"/>
      <c r="J268" s="15"/>
      <c r="K268" s="15"/>
      <c r="O268" s="15"/>
      <c r="P268" s="15"/>
    </row>
    <row r="269" spans="2:16" x14ac:dyDescent="0.3">
      <c r="B269" s="15"/>
      <c r="C269" s="15"/>
      <c r="D269" s="15"/>
      <c r="E269" s="15"/>
      <c r="F269" s="15"/>
      <c r="G269" s="15"/>
      <c r="H269" s="15"/>
      <c r="I269" s="15"/>
      <c r="J269" s="15"/>
      <c r="K269" s="15"/>
      <c r="O269" s="15"/>
      <c r="P269" s="15"/>
    </row>
    <row r="270" spans="2:16" x14ac:dyDescent="0.3">
      <c r="B270" s="15"/>
      <c r="C270" s="15"/>
      <c r="D270" s="15"/>
      <c r="E270" s="15"/>
      <c r="F270" s="15"/>
      <c r="G270" s="15"/>
      <c r="H270" s="15"/>
      <c r="I270" s="15"/>
      <c r="J270" s="15"/>
      <c r="K270" s="15"/>
      <c r="O270" s="15"/>
      <c r="P270" s="15"/>
    </row>
    <row r="271" spans="2:16" x14ac:dyDescent="0.3">
      <c r="B271" s="15"/>
      <c r="C271" s="15"/>
      <c r="D271" s="15"/>
      <c r="E271" s="15"/>
      <c r="F271" s="15"/>
      <c r="G271" s="15"/>
      <c r="H271" s="15"/>
      <c r="I271" s="15"/>
      <c r="J271" s="15"/>
      <c r="K271" s="15"/>
      <c r="O271" s="15"/>
      <c r="P271" s="15"/>
    </row>
    <row r="272" spans="2:16" x14ac:dyDescent="0.3">
      <c r="B272" s="15"/>
      <c r="C272" s="15"/>
      <c r="D272" s="15"/>
      <c r="E272" s="15"/>
      <c r="F272" s="15"/>
      <c r="G272" s="15"/>
      <c r="H272" s="15"/>
      <c r="I272" s="15"/>
      <c r="J272" s="15"/>
      <c r="K272" s="15"/>
      <c r="O272" s="15"/>
      <c r="P272" s="15"/>
    </row>
    <row r="273" spans="2:16" x14ac:dyDescent="0.3">
      <c r="B273" s="15"/>
      <c r="C273" s="15"/>
      <c r="D273" s="15"/>
      <c r="E273" s="15"/>
      <c r="F273" s="15"/>
      <c r="G273" s="15"/>
      <c r="H273" s="15"/>
      <c r="I273" s="15"/>
      <c r="J273" s="15"/>
      <c r="K273" s="15"/>
      <c r="O273" s="15"/>
      <c r="P273" s="15"/>
    </row>
    <row r="274" spans="2:16" x14ac:dyDescent="0.3">
      <c r="B274" s="15"/>
      <c r="C274" s="15"/>
      <c r="D274" s="15"/>
      <c r="E274" s="15"/>
      <c r="F274" s="15"/>
      <c r="G274" s="15"/>
      <c r="H274" s="15"/>
      <c r="I274" s="15"/>
      <c r="J274" s="15"/>
      <c r="K274" s="15"/>
      <c r="O274" s="15"/>
      <c r="P274" s="15"/>
    </row>
    <row r="275" spans="2:16" x14ac:dyDescent="0.3">
      <c r="B275" s="15"/>
      <c r="C275" s="15"/>
      <c r="D275" s="15"/>
      <c r="E275" s="15"/>
      <c r="F275" s="15"/>
      <c r="G275" s="15"/>
      <c r="H275" s="15"/>
      <c r="I275" s="15"/>
      <c r="J275" s="15"/>
      <c r="K275" s="15"/>
      <c r="O275" s="15"/>
      <c r="P275" s="15"/>
    </row>
    <row r="276" spans="2:16" x14ac:dyDescent="0.3">
      <c r="B276" s="15"/>
      <c r="C276" s="15"/>
      <c r="D276" s="15"/>
      <c r="E276" s="15"/>
      <c r="F276" s="15"/>
      <c r="G276" s="15"/>
      <c r="H276" s="15"/>
      <c r="I276" s="15"/>
      <c r="J276" s="15"/>
      <c r="K276" s="15"/>
      <c r="O276" s="15"/>
      <c r="P276" s="15"/>
    </row>
    <row r="277" spans="2:16" x14ac:dyDescent="0.3">
      <c r="B277" s="15"/>
      <c r="C277" s="15"/>
      <c r="D277" s="15"/>
      <c r="E277" s="15"/>
      <c r="F277" s="15"/>
      <c r="G277" s="15"/>
      <c r="H277" s="15"/>
      <c r="I277" s="15"/>
      <c r="J277" s="15"/>
      <c r="K277" s="15"/>
      <c r="O277" s="15"/>
      <c r="P277" s="15"/>
    </row>
    <row r="278" spans="2:16" x14ac:dyDescent="0.3">
      <c r="B278" s="15"/>
      <c r="C278" s="15"/>
      <c r="D278" s="15"/>
      <c r="E278" s="15"/>
      <c r="F278" s="15"/>
      <c r="G278" s="15"/>
      <c r="H278" s="15"/>
      <c r="I278" s="15"/>
      <c r="J278" s="15"/>
      <c r="K278" s="15"/>
      <c r="O278" s="15"/>
      <c r="P278" s="15"/>
    </row>
    <row r="279" spans="2:16" x14ac:dyDescent="0.3">
      <c r="B279" s="15"/>
      <c r="C279" s="15"/>
      <c r="D279" s="15"/>
      <c r="E279" s="15"/>
      <c r="F279" s="15"/>
      <c r="G279" s="15"/>
      <c r="H279" s="15"/>
      <c r="I279" s="15"/>
      <c r="J279" s="15"/>
      <c r="K279" s="15"/>
      <c r="O279" s="15"/>
      <c r="P279" s="15"/>
    </row>
    <row r="280" spans="2:16" x14ac:dyDescent="0.3">
      <c r="B280" s="15"/>
      <c r="C280" s="15"/>
      <c r="D280" s="15"/>
      <c r="E280" s="15"/>
      <c r="F280" s="15"/>
      <c r="G280" s="15"/>
      <c r="H280" s="15"/>
      <c r="I280" s="15"/>
      <c r="J280" s="15"/>
      <c r="K280" s="15"/>
      <c r="O280" s="15"/>
      <c r="P280" s="15"/>
    </row>
    <row r="281" spans="2:16" x14ac:dyDescent="0.3">
      <c r="B281" s="15"/>
      <c r="C281" s="15"/>
      <c r="D281" s="15"/>
      <c r="E281" s="15"/>
      <c r="F281" s="15"/>
      <c r="G281" s="15"/>
      <c r="H281" s="15"/>
      <c r="I281" s="15"/>
      <c r="J281" s="15"/>
      <c r="K281" s="15"/>
      <c r="O281" s="15"/>
      <c r="P281" s="15"/>
    </row>
    <row r="282" spans="2:16" x14ac:dyDescent="0.3">
      <c r="B282" s="15"/>
      <c r="C282" s="15"/>
      <c r="D282" s="15"/>
      <c r="E282" s="15"/>
      <c r="F282" s="15"/>
      <c r="G282" s="15"/>
      <c r="H282" s="15"/>
      <c r="I282" s="15"/>
      <c r="J282" s="15"/>
      <c r="K282" s="15"/>
      <c r="O282" s="15"/>
      <c r="P282" s="15"/>
    </row>
    <row r="283" spans="2:16" x14ac:dyDescent="0.3">
      <c r="B283" s="15"/>
      <c r="C283" s="15"/>
      <c r="D283" s="15"/>
      <c r="E283" s="15"/>
      <c r="F283" s="15"/>
      <c r="G283" s="15"/>
      <c r="H283" s="15"/>
      <c r="I283" s="15"/>
      <c r="J283" s="15"/>
      <c r="K283" s="15"/>
      <c r="O283" s="15"/>
      <c r="P283" s="15"/>
    </row>
    <row r="284" spans="2:16" x14ac:dyDescent="0.3">
      <c r="B284" s="15"/>
      <c r="C284" s="15"/>
      <c r="D284" s="15"/>
      <c r="E284" s="15"/>
      <c r="F284" s="15"/>
      <c r="G284" s="15"/>
      <c r="H284" s="15"/>
      <c r="I284" s="15"/>
      <c r="J284" s="15"/>
      <c r="K284" s="15"/>
      <c r="O284" s="15"/>
      <c r="P284" s="15"/>
    </row>
    <row r="285" spans="2:16" x14ac:dyDescent="0.3">
      <c r="B285" s="15"/>
      <c r="C285" s="15"/>
      <c r="D285" s="15"/>
      <c r="E285" s="15"/>
      <c r="F285" s="15"/>
      <c r="G285" s="15"/>
      <c r="H285" s="15"/>
      <c r="I285" s="15"/>
      <c r="J285" s="15"/>
      <c r="K285" s="15"/>
      <c r="O285" s="15"/>
      <c r="P285" s="15"/>
    </row>
    <row r="286" spans="2:16" x14ac:dyDescent="0.3">
      <c r="B286" s="15"/>
      <c r="C286" s="15"/>
      <c r="D286" s="15"/>
      <c r="E286" s="15"/>
      <c r="F286" s="15"/>
      <c r="G286" s="15"/>
      <c r="H286" s="15"/>
      <c r="I286" s="15"/>
      <c r="J286" s="15"/>
      <c r="K286" s="15"/>
      <c r="O286" s="15"/>
      <c r="P286" s="15"/>
    </row>
    <row r="287" spans="2:16" x14ac:dyDescent="0.3">
      <c r="B287" s="15"/>
      <c r="C287" s="15"/>
      <c r="D287" s="15"/>
      <c r="E287" s="15"/>
      <c r="F287" s="15"/>
      <c r="G287" s="15"/>
      <c r="H287" s="15"/>
      <c r="I287" s="15"/>
      <c r="J287" s="15"/>
      <c r="K287" s="15"/>
      <c r="O287" s="15"/>
      <c r="P287" s="15"/>
    </row>
    <row r="288" spans="2:16" x14ac:dyDescent="0.3">
      <c r="B288" s="15"/>
      <c r="C288" s="15"/>
      <c r="D288" s="15"/>
      <c r="E288" s="15"/>
      <c r="F288" s="15"/>
      <c r="G288" s="15"/>
      <c r="H288" s="15"/>
      <c r="I288" s="15"/>
      <c r="J288" s="15"/>
      <c r="K288" s="15"/>
      <c r="O288" s="15"/>
      <c r="P288" s="15"/>
    </row>
    <row r="289" spans="2:16" x14ac:dyDescent="0.3">
      <c r="B289" s="15"/>
      <c r="C289" s="15"/>
      <c r="D289" s="15"/>
      <c r="E289" s="15"/>
      <c r="F289" s="15"/>
      <c r="G289" s="15"/>
      <c r="H289" s="15"/>
      <c r="I289" s="15"/>
      <c r="J289" s="15"/>
      <c r="K289" s="15"/>
      <c r="O289" s="15"/>
      <c r="P289" s="15"/>
    </row>
    <row r="290" spans="2:16" x14ac:dyDescent="0.3">
      <c r="B290" s="15"/>
      <c r="C290" s="15"/>
      <c r="D290" s="15"/>
      <c r="E290" s="15"/>
      <c r="F290" s="15"/>
      <c r="G290" s="15"/>
      <c r="H290" s="15"/>
      <c r="I290" s="15"/>
      <c r="J290" s="15"/>
      <c r="K290" s="15"/>
      <c r="O290" s="15"/>
      <c r="P290" s="15"/>
    </row>
    <row r="291" spans="2:16" x14ac:dyDescent="0.3">
      <c r="B291" s="15"/>
      <c r="C291" s="15"/>
      <c r="D291" s="15"/>
      <c r="E291" s="15"/>
      <c r="F291" s="15"/>
      <c r="G291" s="15"/>
      <c r="H291" s="15"/>
      <c r="I291" s="15"/>
      <c r="J291" s="15"/>
      <c r="K291" s="15"/>
      <c r="O291" s="15"/>
      <c r="P291" s="15"/>
    </row>
    <row r="292" spans="2:16" x14ac:dyDescent="0.3">
      <c r="B292" s="15"/>
      <c r="C292" s="15"/>
      <c r="D292" s="15"/>
      <c r="E292" s="15"/>
      <c r="F292" s="15"/>
      <c r="G292" s="15"/>
      <c r="H292" s="15"/>
      <c r="I292" s="15"/>
      <c r="J292" s="15"/>
      <c r="K292" s="15"/>
      <c r="O292" s="15"/>
      <c r="P292" s="15"/>
    </row>
    <row r="293" spans="2:16" x14ac:dyDescent="0.3">
      <c r="B293" s="15"/>
      <c r="C293" s="15"/>
      <c r="D293" s="15"/>
      <c r="E293" s="15"/>
      <c r="F293" s="15"/>
      <c r="G293" s="15"/>
      <c r="H293" s="15"/>
      <c r="I293" s="15"/>
      <c r="J293" s="15"/>
      <c r="K293" s="15"/>
      <c r="O293" s="15"/>
      <c r="P293" s="15"/>
    </row>
    <row r="294" spans="2:16" x14ac:dyDescent="0.3">
      <c r="B294" s="15"/>
      <c r="C294" s="15"/>
      <c r="D294" s="15"/>
      <c r="E294" s="15"/>
      <c r="F294" s="15"/>
      <c r="G294" s="15"/>
      <c r="H294" s="15"/>
      <c r="I294" s="15"/>
      <c r="J294" s="15"/>
      <c r="K294" s="15"/>
      <c r="O294" s="15"/>
      <c r="P294" s="15"/>
    </row>
    <row r="295" spans="2:16" x14ac:dyDescent="0.3">
      <c r="B295" s="15"/>
      <c r="C295" s="15"/>
      <c r="D295" s="15"/>
      <c r="E295" s="15"/>
      <c r="F295" s="15"/>
      <c r="G295" s="15"/>
      <c r="H295" s="15"/>
      <c r="I295" s="15"/>
      <c r="J295" s="15"/>
      <c r="K295" s="15"/>
      <c r="O295" s="15"/>
      <c r="P295" s="15"/>
    </row>
    <row r="296" spans="2:16" x14ac:dyDescent="0.3">
      <c r="B296" s="15"/>
      <c r="C296" s="15"/>
      <c r="D296" s="15"/>
      <c r="E296" s="15"/>
      <c r="F296" s="15"/>
      <c r="G296" s="15"/>
      <c r="H296" s="15"/>
      <c r="I296" s="15"/>
      <c r="J296" s="15"/>
      <c r="K296" s="15"/>
      <c r="O296" s="15"/>
      <c r="P296" s="15"/>
    </row>
    <row r="297" spans="2:16" x14ac:dyDescent="0.3">
      <c r="B297" s="15"/>
      <c r="C297" s="15"/>
      <c r="D297" s="15"/>
      <c r="E297" s="15"/>
      <c r="F297" s="15"/>
      <c r="G297" s="15"/>
      <c r="H297" s="15"/>
      <c r="I297" s="15"/>
      <c r="J297" s="15"/>
      <c r="K297" s="15"/>
      <c r="O297" s="15"/>
      <c r="P297" s="15"/>
    </row>
    <row r="298" spans="2:16" x14ac:dyDescent="0.3">
      <c r="B298" s="15"/>
      <c r="C298" s="15"/>
      <c r="D298" s="15"/>
      <c r="E298" s="15"/>
      <c r="F298" s="15"/>
      <c r="G298" s="15"/>
      <c r="H298" s="15"/>
      <c r="I298" s="15"/>
      <c r="J298" s="15"/>
      <c r="K298" s="15"/>
      <c r="O298" s="15"/>
      <c r="P298" s="15"/>
    </row>
    <row r="299" spans="2:16" x14ac:dyDescent="0.3">
      <c r="B299" s="15"/>
      <c r="C299" s="15"/>
      <c r="D299" s="15"/>
      <c r="E299" s="15"/>
      <c r="F299" s="15"/>
      <c r="G299" s="15"/>
      <c r="H299" s="15"/>
      <c r="I299" s="15"/>
      <c r="J299" s="15"/>
      <c r="K299" s="15"/>
      <c r="O299" s="15"/>
      <c r="P299" s="15"/>
    </row>
    <row r="300" spans="2:16" x14ac:dyDescent="0.3">
      <c r="B300" s="15"/>
      <c r="C300" s="15"/>
      <c r="D300" s="15"/>
      <c r="E300" s="15"/>
      <c r="F300" s="15"/>
      <c r="G300" s="15"/>
      <c r="H300" s="15"/>
      <c r="I300" s="15"/>
      <c r="J300" s="15"/>
      <c r="K300" s="15"/>
      <c r="O300" s="15"/>
      <c r="P300" s="15"/>
    </row>
    <row r="301" spans="2:16" x14ac:dyDescent="0.3">
      <c r="B301" s="15"/>
      <c r="C301" s="15"/>
      <c r="D301" s="15"/>
      <c r="E301" s="15"/>
      <c r="F301" s="15"/>
      <c r="G301" s="15"/>
      <c r="H301" s="15"/>
      <c r="I301" s="15"/>
      <c r="J301" s="15"/>
      <c r="K301" s="15"/>
      <c r="O301" s="15"/>
      <c r="P301" s="15"/>
    </row>
    <row r="302" spans="2:16" x14ac:dyDescent="0.3">
      <c r="B302" s="15"/>
      <c r="C302" s="15"/>
      <c r="D302" s="15"/>
      <c r="E302" s="15"/>
      <c r="F302" s="15"/>
      <c r="G302" s="15"/>
      <c r="H302" s="15"/>
      <c r="I302" s="15"/>
      <c r="J302" s="15"/>
      <c r="K302" s="15"/>
      <c r="O302" s="15"/>
      <c r="P302" s="15"/>
    </row>
    <row r="303" spans="2:16" x14ac:dyDescent="0.3">
      <c r="B303" s="15"/>
      <c r="C303" s="15"/>
      <c r="D303" s="15"/>
      <c r="E303" s="15"/>
      <c r="F303" s="15"/>
      <c r="G303" s="15"/>
      <c r="H303" s="15"/>
      <c r="I303" s="15"/>
      <c r="J303" s="15"/>
      <c r="K303" s="15"/>
      <c r="O303" s="15"/>
      <c r="P303" s="15"/>
    </row>
    <row r="304" spans="2:16" x14ac:dyDescent="0.3">
      <c r="B304" s="15"/>
      <c r="C304" s="15"/>
      <c r="D304" s="15"/>
      <c r="E304" s="15"/>
      <c r="F304" s="15"/>
      <c r="G304" s="15"/>
      <c r="H304" s="15"/>
      <c r="I304" s="15"/>
      <c r="J304" s="15"/>
      <c r="K304" s="15"/>
      <c r="O304" s="15"/>
      <c r="P304" s="15"/>
    </row>
    <row r="305" spans="2:16" x14ac:dyDescent="0.3">
      <c r="B305" s="15"/>
      <c r="C305" s="15"/>
      <c r="D305" s="15"/>
      <c r="E305" s="15"/>
      <c r="F305" s="15"/>
      <c r="G305" s="15"/>
      <c r="H305" s="15"/>
      <c r="I305" s="15"/>
      <c r="J305" s="15"/>
      <c r="K305" s="15"/>
      <c r="O305" s="15"/>
      <c r="P305" s="15"/>
    </row>
    <row r="306" spans="2:16" x14ac:dyDescent="0.3">
      <c r="B306" s="15"/>
      <c r="C306" s="15"/>
      <c r="D306" s="15"/>
      <c r="E306" s="15"/>
      <c r="F306" s="15"/>
      <c r="G306" s="15"/>
      <c r="H306" s="15"/>
      <c r="I306" s="15"/>
      <c r="J306" s="15"/>
      <c r="K306" s="15"/>
      <c r="O306" s="15"/>
      <c r="P306" s="15"/>
    </row>
    <row r="307" spans="2:16" x14ac:dyDescent="0.3">
      <c r="B307" s="15"/>
      <c r="C307" s="15"/>
      <c r="D307" s="15"/>
      <c r="E307" s="15"/>
      <c r="F307" s="15"/>
      <c r="G307" s="15"/>
      <c r="H307" s="15"/>
      <c r="I307" s="15"/>
      <c r="J307" s="15"/>
      <c r="K307" s="15"/>
      <c r="O307" s="15"/>
      <c r="P307" s="15"/>
    </row>
    <row r="308" spans="2:16" x14ac:dyDescent="0.3">
      <c r="B308" s="15"/>
      <c r="C308" s="15"/>
      <c r="D308" s="15"/>
      <c r="E308" s="15"/>
      <c r="F308" s="15"/>
      <c r="G308" s="15"/>
      <c r="H308" s="15"/>
      <c r="I308" s="15"/>
      <c r="J308" s="15"/>
      <c r="K308" s="15"/>
      <c r="O308" s="15"/>
      <c r="P308" s="15"/>
    </row>
    <row r="309" spans="2:16" x14ac:dyDescent="0.3">
      <c r="B309" s="15"/>
      <c r="C309" s="15"/>
      <c r="D309" s="15"/>
      <c r="E309" s="15"/>
      <c r="F309" s="15"/>
      <c r="G309" s="15"/>
      <c r="H309" s="15"/>
      <c r="I309" s="15"/>
      <c r="J309" s="15"/>
      <c r="K309" s="15"/>
      <c r="O309" s="15"/>
      <c r="P309" s="15"/>
    </row>
    <row r="310" spans="2:16" x14ac:dyDescent="0.3">
      <c r="B310" s="15"/>
      <c r="C310" s="15"/>
      <c r="D310" s="15"/>
      <c r="E310" s="15"/>
      <c r="F310" s="15"/>
      <c r="G310" s="15"/>
      <c r="H310" s="15"/>
      <c r="I310" s="15"/>
      <c r="J310" s="15"/>
      <c r="K310" s="15"/>
      <c r="O310" s="15"/>
      <c r="P310" s="15"/>
    </row>
    <row r="311" spans="2:16" x14ac:dyDescent="0.3">
      <c r="B311" s="15"/>
      <c r="C311" s="15"/>
      <c r="D311" s="15"/>
      <c r="E311" s="15"/>
      <c r="F311" s="15"/>
      <c r="G311" s="15"/>
      <c r="H311" s="15"/>
      <c r="I311" s="15"/>
      <c r="J311" s="15"/>
      <c r="K311" s="15"/>
      <c r="O311" s="15"/>
      <c r="P311" s="15"/>
    </row>
    <row r="312" spans="2:16" x14ac:dyDescent="0.3">
      <c r="B312" s="15"/>
      <c r="C312" s="15"/>
      <c r="D312" s="15"/>
      <c r="E312" s="15"/>
      <c r="F312" s="15"/>
      <c r="G312" s="15"/>
      <c r="H312" s="15"/>
      <c r="I312" s="15"/>
      <c r="J312" s="15"/>
      <c r="K312" s="15"/>
      <c r="O312" s="15"/>
      <c r="P312" s="15"/>
    </row>
    <row r="313" spans="2:16" x14ac:dyDescent="0.3">
      <c r="B313" s="15"/>
      <c r="C313" s="15"/>
      <c r="D313" s="15"/>
      <c r="E313" s="15"/>
      <c r="F313" s="15"/>
      <c r="G313" s="15"/>
      <c r="H313" s="15"/>
      <c r="I313" s="15"/>
      <c r="J313" s="15"/>
      <c r="K313" s="15"/>
      <c r="O313" s="15"/>
      <c r="P313" s="15"/>
    </row>
    <row r="314" spans="2:16" x14ac:dyDescent="0.3">
      <c r="B314" s="15"/>
      <c r="C314" s="15"/>
      <c r="D314" s="15"/>
      <c r="E314" s="15"/>
      <c r="F314" s="15"/>
      <c r="G314" s="15"/>
      <c r="H314" s="15"/>
      <c r="I314" s="15"/>
      <c r="J314" s="15"/>
      <c r="K314" s="15"/>
      <c r="O314" s="15"/>
      <c r="P314" s="15"/>
    </row>
    <row r="315" spans="2:16" x14ac:dyDescent="0.3">
      <c r="B315" s="15"/>
      <c r="C315" s="15"/>
      <c r="D315" s="15"/>
      <c r="E315" s="15"/>
      <c r="F315" s="15"/>
      <c r="G315" s="15"/>
      <c r="H315" s="15"/>
      <c r="I315" s="15"/>
      <c r="J315" s="15"/>
      <c r="K315" s="15"/>
      <c r="O315" s="15"/>
      <c r="P315" s="15"/>
    </row>
    <row r="316" spans="2:16" x14ac:dyDescent="0.3">
      <c r="B316" s="15"/>
      <c r="C316" s="15"/>
      <c r="D316" s="15"/>
      <c r="E316" s="15"/>
      <c r="F316" s="15"/>
      <c r="G316" s="15"/>
      <c r="H316" s="15"/>
      <c r="I316" s="15"/>
      <c r="J316" s="15"/>
      <c r="K316" s="15"/>
      <c r="O316" s="15"/>
      <c r="P316" s="15"/>
    </row>
    <row r="317" spans="2:16" x14ac:dyDescent="0.3">
      <c r="B317" s="15"/>
      <c r="C317" s="15"/>
      <c r="D317" s="15"/>
      <c r="E317" s="15"/>
      <c r="F317" s="15"/>
      <c r="G317" s="15"/>
      <c r="H317" s="15"/>
      <c r="I317" s="15"/>
      <c r="J317" s="15"/>
      <c r="K317" s="15"/>
      <c r="O317" s="15"/>
      <c r="P317" s="15"/>
    </row>
    <row r="318" spans="2:16" x14ac:dyDescent="0.3">
      <c r="B318" s="15"/>
      <c r="C318" s="15"/>
      <c r="D318" s="15"/>
      <c r="E318" s="15"/>
      <c r="F318" s="15"/>
      <c r="G318" s="15"/>
      <c r="H318" s="15"/>
      <c r="I318" s="15"/>
      <c r="J318" s="15"/>
      <c r="K318" s="15"/>
      <c r="O318" s="15"/>
      <c r="P318" s="15"/>
    </row>
    <row r="319" spans="2:16" x14ac:dyDescent="0.3">
      <c r="B319" s="15"/>
      <c r="C319" s="15"/>
      <c r="D319" s="15"/>
      <c r="E319" s="15"/>
      <c r="F319" s="15"/>
      <c r="G319" s="15"/>
      <c r="H319" s="15"/>
      <c r="I319" s="15"/>
      <c r="J319" s="15"/>
      <c r="K319" s="15"/>
      <c r="O319" s="15"/>
      <c r="P319" s="15"/>
    </row>
    <row r="320" spans="2:16" x14ac:dyDescent="0.3">
      <c r="B320" s="15"/>
      <c r="C320" s="15"/>
      <c r="D320" s="15"/>
      <c r="E320" s="15"/>
      <c r="F320" s="15"/>
      <c r="G320" s="15"/>
      <c r="H320" s="15"/>
      <c r="I320" s="15"/>
      <c r="J320" s="15"/>
      <c r="K320" s="15"/>
      <c r="O320" s="15"/>
      <c r="P320" s="15"/>
    </row>
    <row r="321" spans="2:16" x14ac:dyDescent="0.3">
      <c r="B321" s="15"/>
      <c r="C321" s="15"/>
      <c r="D321" s="15"/>
      <c r="E321" s="15"/>
      <c r="F321" s="15"/>
      <c r="G321" s="15"/>
      <c r="H321" s="15"/>
      <c r="I321" s="15"/>
      <c r="J321" s="15"/>
      <c r="K321" s="15"/>
      <c r="O321" s="15"/>
      <c r="P321" s="15"/>
    </row>
    <row r="322" spans="2:16" x14ac:dyDescent="0.3">
      <c r="B322" s="15"/>
      <c r="C322" s="15"/>
      <c r="D322" s="15"/>
      <c r="E322" s="15"/>
      <c r="F322" s="15"/>
      <c r="G322" s="15"/>
      <c r="H322" s="15"/>
      <c r="I322" s="15"/>
      <c r="J322" s="15"/>
      <c r="K322" s="15"/>
      <c r="O322" s="15"/>
      <c r="P322" s="15"/>
    </row>
    <row r="323" spans="2:16" x14ac:dyDescent="0.3">
      <c r="B323" s="15"/>
      <c r="C323" s="15"/>
      <c r="D323" s="15"/>
      <c r="E323" s="15"/>
      <c r="F323" s="15"/>
      <c r="G323" s="15"/>
      <c r="H323" s="15"/>
      <c r="I323" s="15"/>
      <c r="J323" s="15"/>
      <c r="K323" s="15"/>
      <c r="O323" s="15"/>
      <c r="P323" s="15"/>
    </row>
    <row r="324" spans="2:16" x14ac:dyDescent="0.3">
      <c r="B324" s="15"/>
      <c r="C324" s="15"/>
      <c r="D324" s="15"/>
      <c r="E324" s="15"/>
      <c r="F324" s="15"/>
      <c r="G324" s="15"/>
      <c r="H324" s="15"/>
      <c r="I324" s="15"/>
      <c r="J324" s="15"/>
      <c r="K324" s="15"/>
      <c r="O324" s="15"/>
      <c r="P324" s="15"/>
    </row>
    <row r="325" spans="2:16" x14ac:dyDescent="0.3">
      <c r="B325" s="15"/>
      <c r="C325" s="15"/>
      <c r="D325" s="15"/>
      <c r="E325" s="15"/>
      <c r="F325" s="15"/>
      <c r="G325" s="15"/>
      <c r="H325" s="15"/>
      <c r="I325" s="15"/>
      <c r="J325" s="15"/>
      <c r="K325" s="15"/>
      <c r="O325" s="15"/>
      <c r="P325" s="15"/>
    </row>
    <row r="326" spans="2:16" x14ac:dyDescent="0.3">
      <c r="B326" s="15"/>
      <c r="C326" s="15"/>
      <c r="D326" s="15"/>
      <c r="E326" s="15"/>
      <c r="F326" s="15"/>
      <c r="G326" s="15"/>
      <c r="H326" s="15"/>
      <c r="I326" s="15"/>
      <c r="J326" s="15"/>
      <c r="K326" s="15"/>
      <c r="O326" s="15"/>
      <c r="P326" s="15"/>
    </row>
    <row r="327" spans="2:16" x14ac:dyDescent="0.3">
      <c r="B327" s="15"/>
      <c r="C327" s="15"/>
      <c r="D327" s="15"/>
      <c r="E327" s="15"/>
      <c r="F327" s="15"/>
      <c r="G327" s="15"/>
      <c r="H327" s="15"/>
      <c r="I327" s="15"/>
      <c r="J327" s="15"/>
      <c r="K327" s="15"/>
      <c r="O327" s="15"/>
      <c r="P327" s="15"/>
    </row>
    <row r="328" spans="2:16" x14ac:dyDescent="0.3">
      <c r="B328" s="15"/>
      <c r="C328" s="15"/>
      <c r="D328" s="15"/>
      <c r="E328" s="15"/>
      <c r="F328" s="15"/>
      <c r="G328" s="15"/>
      <c r="H328" s="15"/>
      <c r="I328" s="15"/>
      <c r="J328" s="15"/>
      <c r="K328" s="15"/>
      <c r="O328" s="15"/>
      <c r="P328" s="15"/>
    </row>
    <row r="329" spans="2:16" x14ac:dyDescent="0.3">
      <c r="B329" s="15"/>
      <c r="C329" s="15"/>
      <c r="D329" s="15"/>
      <c r="E329" s="15"/>
      <c r="F329" s="15"/>
      <c r="G329" s="15"/>
      <c r="H329" s="15"/>
      <c r="I329" s="15"/>
      <c r="J329" s="15"/>
      <c r="K329" s="15"/>
      <c r="O329" s="15"/>
      <c r="P329" s="15"/>
    </row>
    <row r="330" spans="2:16" x14ac:dyDescent="0.3">
      <c r="B330" s="15"/>
      <c r="C330" s="15"/>
      <c r="D330" s="15"/>
      <c r="E330" s="15"/>
      <c r="F330" s="15"/>
      <c r="G330" s="15"/>
      <c r="H330" s="15"/>
      <c r="I330" s="15"/>
      <c r="J330" s="15"/>
      <c r="K330" s="15"/>
      <c r="O330" s="15"/>
      <c r="P330" s="15"/>
    </row>
    <row r="331" spans="2:16" x14ac:dyDescent="0.3">
      <c r="B331" s="15"/>
      <c r="C331" s="15"/>
      <c r="D331" s="15"/>
      <c r="E331" s="15"/>
      <c r="F331" s="15"/>
      <c r="G331" s="15"/>
      <c r="H331" s="15"/>
      <c r="I331" s="15"/>
      <c r="J331" s="15"/>
      <c r="K331" s="15"/>
      <c r="O331" s="15"/>
      <c r="P331" s="15"/>
    </row>
    <row r="332" spans="2:16" x14ac:dyDescent="0.3">
      <c r="B332" s="15"/>
      <c r="C332" s="15"/>
      <c r="D332" s="15"/>
      <c r="E332" s="15"/>
      <c r="F332" s="15"/>
      <c r="G332" s="15"/>
      <c r="H332" s="15"/>
      <c r="I332" s="15"/>
      <c r="J332" s="15"/>
      <c r="K332" s="15"/>
      <c r="O332" s="15"/>
      <c r="P332" s="15"/>
    </row>
    <row r="333" spans="2:16" x14ac:dyDescent="0.3">
      <c r="B333" s="15"/>
      <c r="C333" s="15"/>
      <c r="D333" s="15"/>
      <c r="E333" s="15"/>
      <c r="F333" s="15"/>
      <c r="G333" s="15"/>
      <c r="H333" s="15"/>
      <c r="I333" s="15"/>
      <c r="J333" s="15"/>
      <c r="K333" s="15"/>
      <c r="O333" s="15"/>
      <c r="P333" s="15"/>
    </row>
    <row r="334" spans="2:16" x14ac:dyDescent="0.3">
      <c r="B334" s="15"/>
      <c r="C334" s="15"/>
      <c r="D334" s="15"/>
      <c r="E334" s="15"/>
      <c r="F334" s="15"/>
      <c r="G334" s="15"/>
      <c r="H334" s="15"/>
      <c r="I334" s="15"/>
      <c r="J334" s="15"/>
      <c r="K334" s="15"/>
      <c r="O334" s="15"/>
      <c r="P334" s="15"/>
    </row>
    <row r="335" spans="2:16" x14ac:dyDescent="0.3">
      <c r="B335" s="15"/>
      <c r="C335" s="15"/>
      <c r="D335" s="15"/>
      <c r="E335" s="15"/>
      <c r="F335" s="15"/>
      <c r="G335" s="15"/>
      <c r="H335" s="15"/>
      <c r="I335" s="15"/>
      <c r="J335" s="15"/>
      <c r="K335" s="15"/>
      <c r="O335" s="15"/>
      <c r="P335" s="15"/>
    </row>
    <row r="336" spans="2:16" x14ac:dyDescent="0.3">
      <c r="B336" s="15"/>
      <c r="C336" s="15"/>
      <c r="D336" s="15"/>
      <c r="E336" s="15"/>
      <c r="F336" s="15"/>
      <c r="G336" s="15"/>
      <c r="H336" s="15"/>
      <c r="I336" s="15"/>
      <c r="J336" s="15"/>
      <c r="K336" s="15"/>
      <c r="O336" s="15"/>
      <c r="P336" s="15"/>
    </row>
    <row r="337" spans="2:16" x14ac:dyDescent="0.3">
      <c r="B337" s="15"/>
      <c r="C337" s="15"/>
      <c r="D337" s="15"/>
      <c r="E337" s="15"/>
      <c r="F337" s="15"/>
      <c r="G337" s="15"/>
      <c r="H337" s="15"/>
      <c r="I337" s="15"/>
      <c r="J337" s="15"/>
      <c r="K337" s="15"/>
      <c r="O337" s="15"/>
      <c r="P337" s="15"/>
    </row>
    <row r="338" spans="2:16" x14ac:dyDescent="0.3">
      <c r="B338" s="15"/>
      <c r="C338" s="15"/>
      <c r="D338" s="15"/>
      <c r="E338" s="15"/>
      <c r="F338" s="15"/>
      <c r="G338" s="15"/>
      <c r="H338" s="15"/>
      <c r="I338" s="15"/>
      <c r="J338" s="15"/>
      <c r="K338" s="15"/>
      <c r="O338" s="15"/>
      <c r="P338" s="15"/>
    </row>
    <row r="339" spans="2:16" x14ac:dyDescent="0.3">
      <c r="B339" s="15"/>
      <c r="C339" s="15"/>
      <c r="D339" s="15"/>
      <c r="E339" s="15"/>
      <c r="F339" s="15"/>
      <c r="G339" s="15"/>
      <c r="H339" s="15"/>
      <c r="I339" s="15"/>
      <c r="J339" s="15"/>
      <c r="K339" s="15"/>
      <c r="O339" s="15"/>
      <c r="P339" s="15"/>
    </row>
    <row r="340" spans="2:16" x14ac:dyDescent="0.3">
      <c r="B340" s="15"/>
      <c r="C340" s="15"/>
      <c r="D340" s="15"/>
      <c r="E340" s="15"/>
      <c r="F340" s="15"/>
      <c r="G340" s="15"/>
      <c r="H340" s="15"/>
      <c r="I340" s="15"/>
      <c r="J340" s="15"/>
      <c r="K340" s="15"/>
      <c r="O340" s="15"/>
      <c r="P340" s="15"/>
    </row>
    <row r="341" spans="2:16" x14ac:dyDescent="0.3">
      <c r="B341" s="15"/>
      <c r="C341" s="15"/>
      <c r="D341" s="15"/>
      <c r="E341" s="15"/>
      <c r="F341" s="15"/>
      <c r="G341" s="15"/>
      <c r="H341" s="15"/>
      <c r="I341" s="15"/>
      <c r="J341" s="15"/>
      <c r="K341" s="15"/>
      <c r="O341" s="15"/>
      <c r="P341" s="15"/>
    </row>
    <row r="342" spans="2:16" x14ac:dyDescent="0.3">
      <c r="B342" s="15"/>
      <c r="C342" s="15"/>
      <c r="D342" s="15"/>
      <c r="E342" s="15"/>
      <c r="F342" s="15"/>
      <c r="G342" s="15"/>
      <c r="H342" s="15"/>
      <c r="I342" s="15"/>
      <c r="J342" s="15"/>
      <c r="K342" s="15"/>
      <c r="O342" s="15"/>
      <c r="P342" s="15"/>
    </row>
    <row r="343" spans="2:16" x14ac:dyDescent="0.3">
      <c r="B343" s="15"/>
      <c r="C343" s="15"/>
      <c r="D343" s="15"/>
      <c r="E343" s="15"/>
      <c r="F343" s="15"/>
      <c r="G343" s="15"/>
      <c r="H343" s="15"/>
      <c r="I343" s="15"/>
      <c r="J343" s="15"/>
      <c r="K343" s="15"/>
      <c r="O343" s="15"/>
      <c r="P343" s="15"/>
    </row>
    <row r="344" spans="2:16" x14ac:dyDescent="0.3">
      <c r="B344" s="15"/>
      <c r="C344" s="15"/>
      <c r="D344" s="15"/>
      <c r="E344" s="15"/>
      <c r="F344" s="15"/>
      <c r="G344" s="15"/>
      <c r="H344" s="15"/>
      <c r="I344" s="15"/>
      <c r="J344" s="15"/>
      <c r="K344" s="15"/>
      <c r="O344" s="15"/>
      <c r="P344" s="15"/>
    </row>
    <row r="345" spans="2:16" x14ac:dyDescent="0.3">
      <c r="B345" s="15"/>
      <c r="C345" s="15"/>
      <c r="D345" s="15"/>
      <c r="E345" s="15"/>
      <c r="F345" s="15"/>
      <c r="G345" s="15"/>
      <c r="H345" s="15"/>
      <c r="I345" s="15"/>
      <c r="J345" s="15"/>
      <c r="K345" s="15"/>
      <c r="O345" s="15"/>
      <c r="P345" s="15"/>
    </row>
    <row r="346" spans="2:16" x14ac:dyDescent="0.3">
      <c r="B346" s="15"/>
      <c r="C346" s="15"/>
      <c r="D346" s="15"/>
      <c r="E346" s="15"/>
      <c r="F346" s="15"/>
      <c r="G346" s="15"/>
      <c r="H346" s="15"/>
      <c r="I346" s="15"/>
      <c r="J346" s="15"/>
      <c r="K346" s="15"/>
      <c r="O346" s="15"/>
      <c r="P346" s="15"/>
    </row>
    <row r="347" spans="2:16" x14ac:dyDescent="0.3">
      <c r="B347" s="15"/>
      <c r="C347" s="15"/>
      <c r="D347" s="15"/>
      <c r="E347" s="15"/>
      <c r="F347" s="15"/>
      <c r="G347" s="15"/>
      <c r="H347" s="15"/>
      <c r="I347" s="15"/>
      <c r="J347" s="15"/>
      <c r="K347" s="15"/>
      <c r="O347" s="15"/>
      <c r="P347" s="15"/>
    </row>
    <row r="348" spans="2:16" x14ac:dyDescent="0.3">
      <c r="B348" s="15"/>
      <c r="C348" s="15"/>
      <c r="D348" s="15"/>
      <c r="E348" s="15"/>
      <c r="F348" s="15"/>
      <c r="G348" s="15"/>
      <c r="H348" s="15"/>
      <c r="I348" s="15"/>
      <c r="J348" s="15"/>
      <c r="K348" s="15"/>
      <c r="O348" s="15"/>
      <c r="P348" s="15"/>
    </row>
    <row r="349" spans="2:16" x14ac:dyDescent="0.3">
      <c r="B349" s="15"/>
      <c r="C349" s="15"/>
      <c r="D349" s="15"/>
      <c r="E349" s="15"/>
      <c r="F349" s="15"/>
      <c r="G349" s="15"/>
      <c r="H349" s="15"/>
      <c r="I349" s="15"/>
      <c r="J349" s="15"/>
      <c r="K349" s="15"/>
      <c r="O349" s="15"/>
      <c r="P349" s="15"/>
    </row>
    <row r="350" spans="2:16" x14ac:dyDescent="0.3">
      <c r="B350" s="15"/>
      <c r="C350" s="15"/>
      <c r="D350" s="15"/>
      <c r="E350" s="15"/>
      <c r="F350" s="15"/>
      <c r="G350" s="15"/>
      <c r="H350" s="15"/>
      <c r="I350" s="15"/>
      <c r="J350" s="15"/>
      <c r="K350" s="15"/>
      <c r="O350" s="15"/>
      <c r="P350" s="15"/>
    </row>
    <row r="351" spans="2:16" x14ac:dyDescent="0.3">
      <c r="B351" s="15"/>
      <c r="C351" s="15"/>
      <c r="D351" s="15"/>
      <c r="E351" s="15"/>
      <c r="F351" s="15"/>
      <c r="G351" s="15"/>
      <c r="H351" s="15"/>
      <c r="I351" s="15"/>
      <c r="J351" s="15"/>
      <c r="K351" s="15"/>
      <c r="O351" s="15"/>
      <c r="P351" s="15"/>
    </row>
    <row r="352" spans="2:16" x14ac:dyDescent="0.3">
      <c r="B352" s="15"/>
      <c r="C352" s="15"/>
      <c r="D352" s="15"/>
      <c r="E352" s="15"/>
      <c r="F352" s="15"/>
      <c r="G352" s="15"/>
      <c r="H352" s="15"/>
      <c r="I352" s="15"/>
      <c r="J352" s="15"/>
      <c r="K352" s="15"/>
      <c r="O352" s="15"/>
      <c r="P352" s="15"/>
    </row>
    <row r="353" spans="2:16" x14ac:dyDescent="0.3">
      <c r="B353" s="15"/>
      <c r="C353" s="15"/>
      <c r="D353" s="15"/>
      <c r="E353" s="15"/>
      <c r="F353" s="15"/>
      <c r="G353" s="15"/>
      <c r="H353" s="15"/>
      <c r="I353" s="15"/>
      <c r="J353" s="15"/>
      <c r="K353" s="15"/>
      <c r="O353" s="15"/>
      <c r="P353" s="15"/>
    </row>
    <row r="354" spans="2:16" x14ac:dyDescent="0.3">
      <c r="B354" s="15"/>
      <c r="C354" s="15"/>
      <c r="D354" s="15"/>
      <c r="E354" s="15"/>
      <c r="F354" s="15"/>
      <c r="G354" s="15"/>
      <c r="H354" s="15"/>
      <c r="I354" s="15"/>
      <c r="J354" s="15"/>
      <c r="K354" s="15"/>
      <c r="O354" s="15"/>
      <c r="P354" s="15"/>
    </row>
    <row r="355" spans="2:16" x14ac:dyDescent="0.3">
      <c r="B355" s="15"/>
      <c r="C355" s="15"/>
      <c r="D355" s="15"/>
      <c r="E355" s="15"/>
      <c r="F355" s="15"/>
      <c r="G355" s="15"/>
      <c r="H355" s="15"/>
      <c r="I355" s="15"/>
      <c r="J355" s="15"/>
      <c r="K355" s="15"/>
      <c r="O355" s="15"/>
      <c r="P355" s="15"/>
    </row>
    <row r="356" spans="2:16" x14ac:dyDescent="0.3">
      <c r="B356" s="15"/>
      <c r="C356" s="15"/>
      <c r="D356" s="15"/>
      <c r="E356" s="15"/>
      <c r="F356" s="15"/>
      <c r="G356" s="15"/>
      <c r="H356" s="15"/>
      <c r="I356" s="15"/>
      <c r="J356" s="15"/>
      <c r="K356" s="15"/>
      <c r="O356" s="15"/>
      <c r="P356" s="15"/>
    </row>
    <row r="357" spans="2:16" x14ac:dyDescent="0.3">
      <c r="B357" s="15"/>
      <c r="C357" s="15"/>
      <c r="D357" s="15"/>
      <c r="E357" s="15"/>
      <c r="F357" s="15"/>
      <c r="G357" s="15"/>
      <c r="H357" s="15"/>
      <c r="I357" s="15"/>
      <c r="J357" s="15"/>
      <c r="K357" s="15"/>
      <c r="O357" s="15"/>
      <c r="P357" s="15"/>
    </row>
    <row r="358" spans="2:16" x14ac:dyDescent="0.3">
      <c r="B358" s="15"/>
      <c r="C358" s="15"/>
      <c r="D358" s="15"/>
      <c r="E358" s="15"/>
      <c r="F358" s="15"/>
      <c r="G358" s="15"/>
      <c r="H358" s="15"/>
      <c r="I358" s="15"/>
      <c r="J358" s="15"/>
      <c r="K358" s="15"/>
      <c r="O358" s="15"/>
      <c r="P358" s="15"/>
    </row>
    <row r="359" spans="2:16" x14ac:dyDescent="0.3">
      <c r="B359" s="15"/>
      <c r="C359" s="15"/>
      <c r="D359" s="15"/>
      <c r="E359" s="15"/>
      <c r="F359" s="15"/>
      <c r="G359" s="15"/>
      <c r="H359" s="15"/>
      <c r="I359" s="15"/>
      <c r="J359" s="15"/>
      <c r="K359" s="15"/>
      <c r="O359" s="15"/>
      <c r="P359" s="15"/>
    </row>
    <row r="360" spans="2:16" x14ac:dyDescent="0.3">
      <c r="B360" s="15"/>
      <c r="C360" s="15"/>
      <c r="D360" s="15"/>
      <c r="E360" s="15"/>
      <c r="F360" s="15"/>
      <c r="G360" s="15"/>
      <c r="H360" s="15"/>
      <c r="I360" s="15"/>
      <c r="J360" s="15"/>
      <c r="K360" s="15"/>
      <c r="O360" s="15"/>
      <c r="P360" s="15"/>
    </row>
    <row r="361" spans="2:16" x14ac:dyDescent="0.3">
      <c r="B361" s="15"/>
      <c r="C361" s="15"/>
      <c r="D361" s="15"/>
      <c r="E361" s="15"/>
      <c r="F361" s="15"/>
      <c r="G361" s="15"/>
      <c r="H361" s="15"/>
      <c r="I361" s="15"/>
      <c r="J361" s="15"/>
      <c r="K361" s="15"/>
      <c r="O361" s="15"/>
      <c r="P361" s="15"/>
    </row>
    <row r="362" spans="2:16" x14ac:dyDescent="0.3">
      <c r="B362" s="15"/>
      <c r="C362" s="15"/>
      <c r="D362" s="15"/>
      <c r="E362" s="15"/>
      <c r="F362" s="15"/>
      <c r="G362" s="15"/>
      <c r="H362" s="15"/>
      <c r="I362" s="15"/>
      <c r="J362" s="15"/>
      <c r="K362" s="15"/>
      <c r="O362" s="15"/>
      <c r="P362" s="15"/>
    </row>
    <row r="363" spans="2:16" x14ac:dyDescent="0.3">
      <c r="B363" s="15"/>
      <c r="C363" s="15"/>
      <c r="D363" s="15"/>
      <c r="E363" s="15"/>
      <c r="F363" s="15"/>
      <c r="G363" s="15"/>
      <c r="H363" s="15"/>
      <c r="I363" s="15"/>
      <c r="J363" s="15"/>
      <c r="K363" s="15"/>
      <c r="O363" s="15"/>
      <c r="P363" s="15"/>
    </row>
    <row r="364" spans="2:16" x14ac:dyDescent="0.3">
      <c r="B364" s="15"/>
      <c r="C364" s="15"/>
      <c r="D364" s="15"/>
      <c r="E364" s="15"/>
      <c r="F364" s="15"/>
      <c r="G364" s="15"/>
      <c r="H364" s="15"/>
      <c r="I364" s="15"/>
      <c r="J364" s="15"/>
      <c r="K364" s="15"/>
      <c r="O364" s="15"/>
      <c r="P364" s="15"/>
    </row>
    <row r="365" spans="2:16" x14ac:dyDescent="0.3">
      <c r="B365" s="15"/>
      <c r="C365" s="15"/>
      <c r="D365" s="15"/>
      <c r="E365" s="15"/>
      <c r="F365" s="15"/>
      <c r="G365" s="15"/>
      <c r="H365" s="15"/>
      <c r="I365" s="15"/>
      <c r="J365" s="15"/>
      <c r="K365" s="15"/>
      <c r="O365" s="15"/>
      <c r="P365" s="15"/>
    </row>
    <row r="366" spans="2:16" x14ac:dyDescent="0.3">
      <c r="B366" s="15"/>
      <c r="C366" s="15"/>
      <c r="D366" s="15"/>
      <c r="E366" s="15"/>
      <c r="F366" s="15"/>
      <c r="G366" s="15"/>
      <c r="H366" s="15"/>
      <c r="I366" s="15"/>
      <c r="J366" s="15"/>
      <c r="K366" s="15"/>
      <c r="O366" s="15"/>
      <c r="P366" s="15"/>
    </row>
    <row r="367" spans="2:16" x14ac:dyDescent="0.3">
      <c r="B367" s="15"/>
      <c r="C367" s="15"/>
      <c r="D367" s="15"/>
      <c r="E367" s="15"/>
      <c r="F367" s="15"/>
      <c r="G367" s="15"/>
      <c r="H367" s="15"/>
      <c r="I367" s="15"/>
      <c r="J367" s="15"/>
      <c r="K367" s="15"/>
      <c r="O367" s="15"/>
      <c r="P367" s="15"/>
    </row>
    <row r="368" spans="2:16" x14ac:dyDescent="0.3">
      <c r="B368" s="15"/>
      <c r="C368" s="15"/>
      <c r="D368" s="15"/>
      <c r="E368" s="15"/>
      <c r="F368" s="15"/>
      <c r="G368" s="15"/>
      <c r="H368" s="15"/>
      <c r="I368" s="15"/>
      <c r="J368" s="15"/>
      <c r="K368" s="15"/>
      <c r="O368" s="15"/>
      <c r="P368" s="15"/>
    </row>
    <row r="369" spans="2:11" x14ac:dyDescent="0.3">
      <c r="B369" s="15"/>
      <c r="C369" s="15"/>
      <c r="D369" s="15"/>
      <c r="E369" s="15"/>
      <c r="F369" s="15"/>
      <c r="G369" s="15"/>
      <c r="H369" s="15"/>
      <c r="I369" s="15"/>
      <c r="J369" s="15"/>
      <c r="K369" s="15"/>
    </row>
    <row r="370" spans="2:11" x14ac:dyDescent="0.3">
      <c r="B370" s="15"/>
      <c r="C370" s="15"/>
      <c r="D370" s="15"/>
      <c r="E370" s="15"/>
      <c r="F370" s="15"/>
      <c r="G370" s="15"/>
      <c r="H370" s="15"/>
      <c r="I370" s="15"/>
      <c r="J370" s="15"/>
      <c r="K370" s="15"/>
    </row>
  </sheetData>
  <sheetProtection algorithmName="SHA-512" hashValue="NT/Lcq9dZmCXSXJSIERtp2GS3gbw/AOB42uEguDL5LFYc4eno5S82BK/A8K+QwW4nNHlikzCDYfPcUHAhj3Gkg==" saltValue="5CDzRgmXwwCScQcpwM4gpg==" spinCount="100000" sheet="1" formatColumns="0" formatRows="0" insertHyperlinks="0" pivotTables="0"/>
  <protectedRanges>
    <protectedRange sqref="L14 L6 L8 L10 E8 E10 D14 H14 D18 D20 D22 G20 G22 L20 L22 K18 N18 H36:J37 N38 C66 G66 D36:E38 H38 L66 B61:B62" name="Rango1"/>
    <protectedRange sqref="L66" name="Rango2"/>
  </protectedRanges>
  <mergeCells count="137">
    <mergeCell ref="P61:R61"/>
    <mergeCell ref="Z27:Z28"/>
    <mergeCell ref="AA27:AA28"/>
    <mergeCell ref="AB27:AB28"/>
    <mergeCell ref="Z29:Z30"/>
    <mergeCell ref="AA29:AA30"/>
    <mergeCell ref="AB29:AB30"/>
    <mergeCell ref="C54:N56"/>
    <mergeCell ref="T49:T50"/>
    <mergeCell ref="U49:U50"/>
    <mergeCell ref="T40:U40"/>
    <mergeCell ref="B34:O34"/>
    <mergeCell ref="D49:F49"/>
    <mergeCell ref="D50:F50"/>
    <mergeCell ref="I49:J49"/>
    <mergeCell ref="K49:M49"/>
    <mergeCell ref="K50:M50"/>
    <mergeCell ref="G49:H49"/>
    <mergeCell ref="B47:O47"/>
    <mergeCell ref="C45:D45"/>
    <mergeCell ref="L44:M44"/>
    <mergeCell ref="L45:M45"/>
    <mergeCell ref="J44:K44"/>
    <mergeCell ref="J45:K45"/>
    <mergeCell ref="R48:S48"/>
    <mergeCell ref="T48:U48"/>
    <mergeCell ref="R25:X25"/>
    <mergeCell ref="B12:O12"/>
    <mergeCell ref="B16:O16"/>
    <mergeCell ref="J20:K20"/>
    <mergeCell ref="G20:I20"/>
    <mergeCell ref="G22:I22"/>
    <mergeCell ref="B24:O24"/>
    <mergeCell ref="L14:N14"/>
    <mergeCell ref="H26:J26"/>
    <mergeCell ref="L26:M26"/>
    <mergeCell ref="F42:G42"/>
    <mergeCell ref="J42:K42"/>
    <mergeCell ref="L42:M42"/>
    <mergeCell ref="L43:M43"/>
    <mergeCell ref="J43:K43"/>
    <mergeCell ref="D14:F14"/>
    <mergeCell ref="L36:M36"/>
    <mergeCell ref="F44:G44"/>
    <mergeCell ref="L27:M27"/>
    <mergeCell ref="B40:O40"/>
    <mergeCell ref="E27:F27"/>
    <mergeCell ref="R4:T4"/>
    <mergeCell ref="L18:M18"/>
    <mergeCell ref="J22:K22"/>
    <mergeCell ref="L20:N20"/>
    <mergeCell ref="L22:M22"/>
    <mergeCell ref="R40:S40"/>
    <mergeCell ref="B1:D3"/>
    <mergeCell ref="E1:O2"/>
    <mergeCell ref="E3:F3"/>
    <mergeCell ref="I3:J3"/>
    <mergeCell ref="L3:M3"/>
    <mergeCell ref="N3:O3"/>
    <mergeCell ref="B4:O4"/>
    <mergeCell ref="C6:D6"/>
    <mergeCell ref="E6:G6"/>
    <mergeCell ref="L6:N6"/>
    <mergeCell ref="I6:K6"/>
    <mergeCell ref="G3:H3"/>
    <mergeCell ref="B97:E97"/>
    <mergeCell ref="B91:O91"/>
    <mergeCell ref="B82:E82"/>
    <mergeCell ref="B83:O83"/>
    <mergeCell ref="B84:L84"/>
    <mergeCell ref="B87:E87"/>
    <mergeCell ref="B89:E89"/>
    <mergeCell ref="C66:E66"/>
    <mergeCell ref="G66:J66"/>
    <mergeCell ref="G67:J67"/>
    <mergeCell ref="F74:G74"/>
    <mergeCell ref="I74:L74"/>
    <mergeCell ref="D75:O75"/>
    <mergeCell ref="D76:O77"/>
    <mergeCell ref="L78:O78"/>
    <mergeCell ref="K72:O73"/>
    <mergeCell ref="K71:O71"/>
    <mergeCell ref="K70:O70"/>
    <mergeCell ref="B68:O69"/>
    <mergeCell ref="L66:N66"/>
    <mergeCell ref="B92:L92"/>
    <mergeCell ref="B80:E80"/>
    <mergeCell ref="F72:I73"/>
    <mergeCell ref="L67:N67"/>
    <mergeCell ref="B95:E95"/>
    <mergeCell ref="E8:G8"/>
    <mergeCell ref="E26:F26"/>
    <mergeCell ref="F38:G38"/>
    <mergeCell ref="H27:J27"/>
    <mergeCell ref="H29:J29"/>
    <mergeCell ref="G50:H50"/>
    <mergeCell ref="I58:O58"/>
    <mergeCell ref="B58:H58"/>
    <mergeCell ref="B59:H59"/>
    <mergeCell ref="I59:O59"/>
    <mergeCell ref="B60:O60"/>
    <mergeCell ref="L8:N8"/>
    <mergeCell ref="L10:N10"/>
    <mergeCell ref="L38:M38"/>
    <mergeCell ref="C28:C29"/>
    <mergeCell ref="D28:D29"/>
    <mergeCell ref="E28:F29"/>
    <mergeCell ref="H36:J36"/>
    <mergeCell ref="F43:G43"/>
    <mergeCell ref="H38:J38"/>
    <mergeCell ref="I64:K64"/>
    <mergeCell ref="I50:J50"/>
    <mergeCell ref="C44:D44"/>
    <mergeCell ref="C67:E67"/>
    <mergeCell ref="E10:G10"/>
    <mergeCell ref="I8:K8"/>
    <mergeCell ref="I10:K10"/>
    <mergeCell ref="D38:E38"/>
    <mergeCell ref="C10:D10"/>
    <mergeCell ref="C8:D8"/>
    <mergeCell ref="D36:E36"/>
    <mergeCell ref="C31:N32"/>
    <mergeCell ref="F36:G36"/>
    <mergeCell ref="L28:M28"/>
    <mergeCell ref="H14:J14"/>
    <mergeCell ref="D18:I18"/>
    <mergeCell ref="B62:O62"/>
    <mergeCell ref="B64:E64"/>
    <mergeCell ref="C52:N53"/>
    <mergeCell ref="F64:G64"/>
    <mergeCell ref="L64:O64"/>
    <mergeCell ref="L29:M29"/>
    <mergeCell ref="B61:O61"/>
    <mergeCell ref="G28:G29"/>
    <mergeCell ref="H28:J28"/>
    <mergeCell ref="F45:G45"/>
    <mergeCell ref="C43:D43"/>
  </mergeCells>
  <phoneticPr fontId="39" type="noConversion"/>
  <dataValidations count="9">
    <dataValidation type="list" allowBlank="1" showInputMessage="1" showErrorMessage="1" sqref="C66:E66" xr:uid="{147BF8E7-69F3-4258-B14E-C81501C93347}">
      <formula1>$R$63:$R$70</formula1>
    </dataValidation>
    <dataValidation type="list" allowBlank="1" showInputMessage="1" showErrorMessage="1" sqref="G66:J66" xr:uid="{0827B2C2-7422-491A-A409-371B921BF3A6}">
      <formula1>$R$66:$R$68</formula1>
    </dataValidation>
    <dataValidation type="list" allowBlank="1" showInputMessage="1" showErrorMessage="1" sqref="L66:N66" xr:uid="{F5E5D45A-01C3-4FCC-A538-DB53B93599FE}">
      <formula1>$R$64:$R$68</formula1>
    </dataValidation>
    <dataValidation type="list" allowBlank="1" showInputMessage="1" showErrorMessage="1" sqref="N38" xr:uid="{0CA4F2A0-E22E-4413-8AEF-5E65CF2CC335}">
      <formula1>$R$33:$R$36</formula1>
    </dataValidation>
    <dataValidation type="list" allowBlank="1" showInputMessage="1" showErrorMessage="1" sqref="D38 D36:E36" xr:uid="{A5CAA406-AF88-4830-A72A-E838B4A88033}">
      <formula1>$S$33:$S$34</formula1>
    </dataValidation>
    <dataValidation type="list" allowBlank="1" showInputMessage="1" showErrorMessage="1" sqref="H36:H37" xr:uid="{23627BFE-85C3-49FB-B9CE-8833C2E650F8}">
      <formula1>$T$33:$T$34</formula1>
    </dataValidation>
    <dataValidation type="list" allowBlank="1" showInputMessage="1" showErrorMessage="1" sqref="D37" xr:uid="{886445C8-B5AA-4075-B5BB-A071088EE3AE}">
      <formula1>#REF!</formula1>
    </dataValidation>
    <dataValidation type="list" allowBlank="1" showInputMessage="1" showErrorMessage="1" sqref="H10 E8:G8" xr:uid="{6D66342B-B955-4A5F-B7D1-8CACEBF01BF7}">
      <formula1>$R$8:$R$9</formula1>
    </dataValidation>
    <dataValidation type="list" allowBlank="1" showInputMessage="1" showErrorMessage="1" sqref="B61:O61" xr:uid="{A6CE3D04-D626-4978-B00D-5DA19E05CCF1}">
      <formula1>$R$60:$T$60</formula1>
    </dataValidation>
  </dataValidations>
  <pageMargins left="0.74" right="0.58253424657534247" top="0.43" bottom="0.79" header="0.19685039370078741" footer="0.18"/>
  <pageSetup scale="57" orientation="portrait" r:id="rId1"/>
  <headerFooter alignWithMargins="0">
    <oddHeader xml:space="preserve">&amp;C&amp;G&amp;R&amp;P de &amp;N        
       </oddHeader>
    <oddFooter>&amp;C&amp;G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CCBC-0BEF-4090-8D07-DA5CB9FCC29F}">
  <dimension ref="B2:W46"/>
  <sheetViews>
    <sheetView workbookViewId="0">
      <selection activeCell="G3" sqref="G3"/>
    </sheetView>
  </sheetViews>
  <sheetFormatPr baseColWidth="10" defaultColWidth="11.44140625" defaultRowHeight="14.4" x14ac:dyDescent="0.3"/>
  <cols>
    <col min="1" max="1" width="4.88671875" customWidth="1"/>
    <col min="2" max="2" width="21.44140625" customWidth="1"/>
    <col min="3" max="3" width="16.88671875" bestFit="1" customWidth="1"/>
    <col min="4" max="4" width="21.88671875" bestFit="1" customWidth="1"/>
    <col min="5" max="5" width="14.5546875" bestFit="1" customWidth="1"/>
    <col min="6" max="6" width="15.33203125" customWidth="1"/>
    <col min="7" max="7" width="19.33203125" bestFit="1" customWidth="1"/>
    <col min="8" max="8" width="4.33203125" customWidth="1"/>
    <col min="9" max="9" width="19" hidden="1" customWidth="1"/>
    <col min="10" max="10" width="3.5546875" customWidth="1"/>
    <col min="13" max="13" width="12.6640625" bestFit="1" customWidth="1"/>
    <col min="14" max="14" width="19.6640625" bestFit="1" customWidth="1"/>
  </cols>
  <sheetData>
    <row r="2" spans="2:18" x14ac:dyDescent="0.3">
      <c r="B2" s="296" t="s">
        <v>135</v>
      </c>
      <c r="C2" s="296"/>
      <c r="D2" s="296" t="s">
        <v>136</v>
      </c>
      <c r="E2" s="296"/>
      <c r="F2" s="296" t="s">
        <v>137</v>
      </c>
      <c r="G2" s="296"/>
    </row>
    <row r="3" spans="2:18" x14ac:dyDescent="0.3">
      <c r="B3" s="24" t="s">
        <v>138</v>
      </c>
      <c r="C3" s="160">
        <v>0</v>
      </c>
      <c r="D3" s="24" t="s">
        <v>138</v>
      </c>
      <c r="E3" s="160">
        <v>0</v>
      </c>
      <c r="F3" s="24" t="s">
        <v>139</v>
      </c>
      <c r="G3" s="16" t="s">
        <v>273</v>
      </c>
      <c r="H3" s="17"/>
      <c r="I3" t="s">
        <v>141</v>
      </c>
      <c r="K3" s="295" t="s">
        <v>142</v>
      </c>
      <c r="L3" s="295"/>
      <c r="M3" s="295"/>
      <c r="N3" s="295"/>
      <c r="O3" s="295"/>
    </row>
    <row r="4" spans="2:18" x14ac:dyDescent="0.3">
      <c r="B4" s="24" t="s">
        <v>143</v>
      </c>
      <c r="C4" s="160">
        <v>0</v>
      </c>
      <c r="D4" s="24" t="s">
        <v>143</v>
      </c>
      <c r="E4" s="160">
        <v>0</v>
      </c>
      <c r="F4" s="24" t="s">
        <v>144</v>
      </c>
      <c r="G4" s="16" t="s">
        <v>145</v>
      </c>
      <c r="H4" s="17"/>
      <c r="I4" t="s">
        <v>140</v>
      </c>
      <c r="K4" s="20" t="s">
        <v>146</v>
      </c>
      <c r="L4" s="20" t="s">
        <v>147</v>
      </c>
      <c r="M4" s="20" t="s">
        <v>107</v>
      </c>
      <c r="N4" s="20" t="s">
        <v>148</v>
      </c>
      <c r="O4" s="20" t="s">
        <v>148</v>
      </c>
    </row>
    <row r="5" spans="2:18" x14ac:dyDescent="0.3">
      <c r="B5" s="24" t="s">
        <v>149</v>
      </c>
      <c r="C5" s="173">
        <v>0</v>
      </c>
      <c r="D5" s="24" t="s">
        <v>149</v>
      </c>
      <c r="E5" s="173">
        <v>0</v>
      </c>
      <c r="F5" s="24" t="s">
        <v>150</v>
      </c>
      <c r="G5" s="16"/>
      <c r="H5" s="17"/>
      <c r="I5" t="s">
        <v>151</v>
      </c>
      <c r="K5" s="20">
        <v>0</v>
      </c>
      <c r="L5" s="16" t="s">
        <v>152</v>
      </c>
      <c r="M5" s="16" t="s">
        <v>152</v>
      </c>
      <c r="N5"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c r="O5"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row>
    <row r="6" spans="2:18" x14ac:dyDescent="0.3">
      <c r="B6" s="17"/>
      <c r="C6" s="17"/>
      <c r="D6" s="17"/>
      <c r="E6" s="17"/>
      <c r="F6" s="24" t="s">
        <v>153</v>
      </c>
      <c r="G6" s="16"/>
      <c r="I6" t="s">
        <v>273</v>
      </c>
      <c r="K6" s="20">
        <v>1</v>
      </c>
      <c r="L6" s="53">
        <f>D10</f>
        <v>-1.07056218167401E-3</v>
      </c>
      <c r="M6" s="53">
        <f>+IF(AND($L$22&gt;860,'CÁLCULO INCERTIDUMBRE'!$I$2&lt;0.9),0.9,'CÁLCULO INCERTIDUMBRE'!$I$2)</f>
        <v>0.18224339680504575</v>
      </c>
      <c r="N6"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c r="O6"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row>
    <row r="7" spans="2:18" x14ac:dyDescent="0.3">
      <c r="F7" s="24" t="s">
        <v>154</v>
      </c>
      <c r="G7" s="16"/>
      <c r="K7" s="20">
        <v>2</v>
      </c>
      <c r="L7" s="53">
        <f>D11</f>
        <v>-1.07056218167401E-3</v>
      </c>
      <c r="M7" s="53">
        <f>+IF(AND($L$22&gt;860,'CÁLCULO INCERTIDUMBRE'!$I$2&lt;0.9),0.9,'CÁLCULO INCERTIDUMBRE'!$I$2)</f>
        <v>0.18224339680504575</v>
      </c>
      <c r="N7"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c r="O7"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row>
    <row r="8" spans="2:18" ht="28.95" customHeight="1" x14ac:dyDescent="0.3">
      <c r="B8" s="21">
        <v>1</v>
      </c>
      <c r="C8" s="25" t="s">
        <v>155</v>
      </c>
      <c r="D8" s="26" t="s">
        <v>156</v>
      </c>
      <c r="E8" s="15"/>
      <c r="F8" s="15"/>
      <c r="G8" s="15"/>
      <c r="I8" t="s">
        <v>145</v>
      </c>
      <c r="K8" s="20">
        <v>3</v>
      </c>
      <c r="L8" s="53">
        <f>D12</f>
        <v>-1.07056218167401E-3</v>
      </c>
      <c r="M8" s="53">
        <f>+IF(AND($L$22&gt;860,'CÁLCULO INCERTIDUMBRE'!$I$2&lt;0.9),0.9,'CÁLCULO INCERTIDUMBRE'!$I$2)</f>
        <v>0.18224339680504575</v>
      </c>
      <c r="N8"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c r="O8"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row>
    <row r="9" spans="2:18" x14ac:dyDescent="0.3">
      <c r="B9" s="25" t="s">
        <v>158</v>
      </c>
      <c r="C9" s="25" t="s">
        <v>159</v>
      </c>
      <c r="D9" s="25" t="s">
        <v>159</v>
      </c>
      <c r="E9" s="15"/>
      <c r="F9" s="15"/>
      <c r="G9" s="15"/>
      <c r="I9" t="s">
        <v>157</v>
      </c>
      <c r="K9" s="20">
        <v>4</v>
      </c>
      <c r="L9" s="53">
        <f>D13</f>
        <v>-1.07056218167401E-3</v>
      </c>
      <c r="M9" s="53">
        <f>+IF(AND($L$22&gt;860,'CÁLCULO INCERTIDUMBRE'!$I$2&lt;0.9),0.9,'CÁLCULO INCERTIDUMBRE'!$I$2)</f>
        <v>0.18224339680504575</v>
      </c>
      <c r="N9"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c r="O9"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row>
    <row r="10" spans="2:18" x14ac:dyDescent="0.3">
      <c r="B10" s="25">
        <v>1</v>
      </c>
      <c r="C10" s="52">
        <v>0</v>
      </c>
      <c r="D10" s="50">
        <f>C10+IF($G$3="Manómetro Crystal 5K",(4.1126295492E-20*(C10^6))-(4.36746502689345E-16*(C10^5))+(1.77384447618266E-12*(C10^4))-(3.42850808478409E-09*(C10^3))+(3.19285876475631E-06*(C10^2))-(0.00118466966428876*C10)-0.00224021406603825,IF($G$3="Manómetro Crystal 1K",((-8.734071321816E-18*(C10^6))+(3.69940365616324E-14*(C10^5))-(5.88687874755048E-11*(C10^4))+(4.34004268789643E-08*(C10^3))-(0.000014556750777453*(C10^2))+(0.00193523545422192*C10)+0.0158504394420191),IF($G$3="Manómetro Additel",(3.1782092705E-20*(C10^6))-(2.86096661253844E-16*(C10^5))+(9.60090252083449E-13*(C10^4))-(1.4836172572118E-09*(C10^3))+(1.04004189668827E-06*(C10^2))-(0.000448993805870046*C10)-0.000818552659893612,(-5.987586408792E-18*(C10^6))+(2.14463810734081E-14*(C10^5))-(2.90929335535737E-11*(C10^4))+(1.78147682184933E-08*(C10^3))-(4.50989019522979E-06*(C10^2))+(0.000385811685473136*C10)-0.00107056218167401)))</f>
        <v>-1.07056218167401E-3</v>
      </c>
      <c r="E10" s="23"/>
      <c r="F10" s="51"/>
      <c r="G10" s="23"/>
      <c r="K10" s="20">
        <v>5</v>
      </c>
      <c r="L10" s="16" t="s">
        <v>152</v>
      </c>
      <c r="M10" s="16" t="s">
        <v>152</v>
      </c>
      <c r="N10"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c r="O10" s="16">
        <f>'CALIBRACIÓN PSV'!$L$22-IF('CALIBRACIÓN PSV'!$H$36="ASME I",IF(AND('CALIBRACIÓN PSV'!$L$22&lt;=70,'CALIBRACIÓN PSV'!$L$22&gt;=15),2,IF(AND('CALIBRACIÓN PSV'!$L$22&lt;=300,'CALIBRACIÓN PSV'!$L$22&gt;70),'CALIBRACIÓN PSV'!$L$22*0.03,IF(AND('CALIBRACIÓN PSV'!$L$22&lt;=1000,'CALIBRACIÓN PSV'!$L$22&gt;300),10,IF('CALIBRACIÓN PSV'!$L$22&gt;1000,'CALIBRACIÓN PSV'!$L$22*0.01)))),IF(AND('CALIBRACIÓN PSV'!$L$22&lt;=70,'CALIBRACIÓN PSV'!$L$22&gt;=15),2,IF('CALIBRACIÓN PSV'!$L$22&gt;=70,'CALIBRACIÓN PSV'!$L$22*0.03,0)))</f>
        <v>0</v>
      </c>
    </row>
    <row r="11" spans="2:18" ht="15" thickBot="1" x14ac:dyDescent="0.35">
      <c r="B11" s="25">
        <v>2</v>
      </c>
      <c r="C11" s="52">
        <v>0</v>
      </c>
      <c r="D11" s="50">
        <f t="shared" ref="D11:D13" si="0">C11+IF($G$3="Manómetro Crystal 5K",(4.1126295492E-20*(C11^6))-(4.36746502689345E-16*(C11^5))+(1.77384447618266E-12*(C11^4))-(3.42850808478409E-09*(C11^3))+(3.19285876475631E-06*(C11^2))-(0.00118466966428876*C11)-0.00224021406603825,IF($G$3="Manómetro Crystal 1K",((-8.734071321816E-18*(C11^6))+(3.69940365616324E-14*(C11^5))-(5.88687874755048E-11*(C11^4))+(4.34004268789643E-08*(C11^3))-(0.000014556750777453*(C11^2))+(0.00193523545422192*C11)+0.0158504394420191),IF($G$3="Manómetro Additel",(3.1782092705E-20*(C11^6))-(2.86096661253844E-16*(C11^5))+(9.60090252083449E-13*(C11^4))-(1.4836172572118E-09*(C11^3))+(1.04004189668827E-06*(C11^2))-(0.000448993805870046*C11)-0.000818552659893612,(-5.987586408792E-18*(C11^6))+(2.14463810734081E-14*(C11^5))-(2.90929335535737E-11*(C11^4))+(1.78147682184933E-08*(C11^3))-(4.50989019522979E-06*(C11^2))+(0.000385811685473136*C11)-0.00107056218167401)))</f>
        <v>-1.07056218167401E-3</v>
      </c>
      <c r="E11" s="23"/>
      <c r="F11" s="23"/>
      <c r="G11" s="23"/>
    </row>
    <row r="12" spans="2:18" ht="14.4" customHeight="1" x14ac:dyDescent="0.3">
      <c r="B12" s="25">
        <v>3</v>
      </c>
      <c r="C12" s="52">
        <v>0</v>
      </c>
      <c r="D12" s="50">
        <f t="shared" si="0"/>
        <v>-1.07056218167401E-3</v>
      </c>
      <c r="E12" s="23"/>
      <c r="F12" s="23"/>
      <c r="G12" s="23"/>
      <c r="Q12" s="289" t="s">
        <v>160</v>
      </c>
      <c r="R12" s="290"/>
    </row>
    <row r="13" spans="2:18" x14ac:dyDescent="0.3">
      <c r="B13" s="25">
        <v>4</v>
      </c>
      <c r="C13" s="52">
        <v>0</v>
      </c>
      <c r="D13" s="50">
        <f t="shared" si="0"/>
        <v>-1.07056218167401E-3</v>
      </c>
      <c r="E13" s="23"/>
      <c r="F13" s="23"/>
      <c r="G13" s="23"/>
      <c r="Q13" s="291"/>
      <c r="R13" s="292"/>
    </row>
    <row r="14" spans="2:18" ht="15" thickBot="1" x14ac:dyDescent="0.35">
      <c r="Q14" s="293"/>
      <c r="R14" s="294"/>
    </row>
    <row r="15" spans="2:18" x14ac:dyDescent="0.3">
      <c r="B15" s="16" t="s">
        <v>161</v>
      </c>
    </row>
    <row r="16" spans="2:18" x14ac:dyDescent="0.3">
      <c r="Q16" s="277" t="s">
        <v>162</v>
      </c>
      <c r="R16" s="277"/>
    </row>
    <row r="17" spans="2:23" x14ac:dyDescent="0.3">
      <c r="B17" s="16" t="s">
        <v>163</v>
      </c>
      <c r="C17" s="19">
        <f>AVERAGE(C10:C13)</f>
        <v>0</v>
      </c>
      <c r="D17" s="19">
        <f>AVERAGE(D10:D13)</f>
        <v>-1.07056218167401E-3</v>
      </c>
      <c r="E17" s="29"/>
      <c r="F17" s="29"/>
      <c r="G17" s="29"/>
    </row>
    <row r="19" spans="2:23" x14ac:dyDescent="0.3">
      <c r="B19" s="16" t="s">
        <v>158</v>
      </c>
      <c r="C19" s="16">
        <f>COUNT(C10:C13)</f>
        <v>4</v>
      </c>
      <c r="D19" s="17"/>
      <c r="Q19" s="27"/>
      <c r="R19" s="27"/>
      <c r="S19" s="27"/>
      <c r="T19" s="27"/>
      <c r="U19" s="27"/>
      <c r="V19" s="27"/>
      <c r="W19" s="27"/>
    </row>
    <row r="20" spans="2:23" x14ac:dyDescent="0.3">
      <c r="Q20" s="27"/>
      <c r="R20" s="27"/>
      <c r="S20" s="27"/>
      <c r="T20" s="27"/>
      <c r="U20" s="27"/>
      <c r="V20" s="27"/>
      <c r="W20" s="27"/>
    </row>
    <row r="21" spans="2:23" x14ac:dyDescent="0.3">
      <c r="Q21" s="27"/>
      <c r="R21" s="27"/>
      <c r="S21" s="27"/>
      <c r="T21" s="27"/>
      <c r="U21" s="27"/>
      <c r="V21" s="27"/>
      <c r="W21" s="27"/>
    </row>
    <row r="22" spans="2:23" ht="15" customHeight="1" x14ac:dyDescent="0.3">
      <c r="Q22" s="27"/>
      <c r="R22" s="27"/>
      <c r="S22" s="27"/>
      <c r="T22" s="27"/>
      <c r="U22" s="27"/>
      <c r="V22" s="27"/>
      <c r="W22" s="27"/>
    </row>
    <row r="23" spans="2:23" ht="15" customHeight="1" x14ac:dyDescent="0.3">
      <c r="B23" s="15"/>
      <c r="C23" s="15"/>
      <c r="D23" s="40"/>
      <c r="E23" s="15"/>
      <c r="F23" s="15"/>
      <c r="G23" s="15"/>
      <c r="Q23" s="27"/>
      <c r="R23" s="27"/>
      <c r="S23" s="27"/>
      <c r="T23" s="27"/>
      <c r="U23" s="27"/>
      <c r="V23" s="27"/>
      <c r="W23" s="27"/>
    </row>
    <row r="24" spans="2:23" ht="15" customHeight="1" x14ac:dyDescent="0.3">
      <c r="B24" s="15"/>
      <c r="C24" s="15"/>
      <c r="D24" s="15"/>
      <c r="E24" s="15"/>
      <c r="F24" s="15"/>
      <c r="G24" s="15"/>
      <c r="Q24" s="27"/>
      <c r="R24" s="27"/>
      <c r="S24" s="27"/>
      <c r="T24" s="27"/>
      <c r="U24" s="27"/>
      <c r="V24" s="27"/>
      <c r="W24" s="27"/>
    </row>
    <row r="25" spans="2:23" ht="15" customHeight="1" x14ac:dyDescent="0.3">
      <c r="B25" s="15"/>
      <c r="C25" s="23"/>
      <c r="D25" s="23"/>
      <c r="E25" s="23"/>
      <c r="F25" s="23"/>
      <c r="G25" s="23"/>
      <c r="Q25" s="27"/>
      <c r="R25" s="27"/>
      <c r="S25" s="27"/>
      <c r="T25" s="27"/>
      <c r="U25" s="27"/>
      <c r="V25" s="27"/>
      <c r="W25" s="27"/>
    </row>
    <row r="26" spans="2:23" ht="15" customHeight="1" x14ac:dyDescent="0.3">
      <c r="B26" s="15"/>
      <c r="C26" s="23"/>
      <c r="D26" s="23"/>
      <c r="E26" s="23"/>
      <c r="F26" s="23"/>
      <c r="G26" s="23"/>
      <c r="Q26" s="27"/>
      <c r="R26" s="27"/>
      <c r="S26" s="27"/>
      <c r="T26" s="27"/>
      <c r="U26" s="27"/>
      <c r="V26" s="27"/>
      <c r="W26" s="27"/>
    </row>
    <row r="27" spans="2:23" ht="15" customHeight="1" x14ac:dyDescent="0.3">
      <c r="B27" s="15"/>
      <c r="C27" s="23"/>
      <c r="D27" s="23"/>
      <c r="E27" s="23"/>
      <c r="F27" s="23"/>
      <c r="G27" s="23"/>
      <c r="Q27" s="27"/>
      <c r="R27" s="27"/>
      <c r="S27" s="27"/>
      <c r="T27" s="27"/>
      <c r="U27" s="27"/>
      <c r="V27" s="27"/>
      <c r="W27" s="27"/>
    </row>
    <row r="28" spans="2:23" ht="15" customHeight="1" x14ac:dyDescent="0.3">
      <c r="B28" s="15"/>
      <c r="C28" s="23"/>
      <c r="D28" s="23"/>
      <c r="E28" s="23"/>
      <c r="F28" s="23"/>
      <c r="G28" s="23"/>
      <c r="Q28" s="27"/>
      <c r="R28" s="27"/>
      <c r="S28" s="27"/>
      <c r="T28" s="27"/>
      <c r="U28" s="27"/>
      <c r="V28" s="27"/>
      <c r="W28" s="27"/>
    </row>
    <row r="29" spans="2:23" ht="15" customHeight="1" x14ac:dyDescent="0.3">
      <c r="B29" s="15"/>
      <c r="C29" s="23"/>
      <c r="Q29" s="27"/>
      <c r="R29" s="27"/>
      <c r="S29" s="27"/>
      <c r="T29" s="27"/>
      <c r="U29" s="27"/>
      <c r="V29" s="27"/>
      <c r="W29" s="27"/>
    </row>
    <row r="30" spans="2:23" ht="15" customHeight="1" x14ac:dyDescent="0.3">
      <c r="B30" s="15"/>
      <c r="C30" s="23"/>
      <c r="Q30" s="27"/>
      <c r="R30" s="27"/>
      <c r="S30" s="27"/>
      <c r="T30" s="27"/>
      <c r="U30" s="27"/>
      <c r="V30" s="27"/>
      <c r="W30" s="27"/>
    </row>
    <row r="31" spans="2:23" ht="15" customHeight="1" x14ac:dyDescent="0.3">
      <c r="B31" s="15"/>
      <c r="C31" s="23"/>
      <c r="Q31" s="27"/>
      <c r="R31" s="27"/>
      <c r="S31" s="27"/>
      <c r="T31" s="27"/>
      <c r="U31" s="27"/>
      <c r="V31" s="27"/>
      <c r="W31" s="27"/>
    </row>
    <row r="32" spans="2:23" ht="15" customHeight="1" x14ac:dyDescent="0.3">
      <c r="B32" s="15"/>
      <c r="C32" s="23"/>
      <c r="Q32" s="27"/>
      <c r="R32" s="27"/>
      <c r="S32" s="27"/>
      <c r="T32" s="27"/>
      <c r="U32" s="27"/>
      <c r="V32" s="27"/>
      <c r="W32" s="27"/>
    </row>
    <row r="33" spans="2:23" ht="15" customHeight="1" x14ac:dyDescent="0.3">
      <c r="B33" s="15"/>
      <c r="C33" s="23"/>
      <c r="Q33" s="27"/>
      <c r="R33" s="27"/>
      <c r="S33" s="27"/>
      <c r="T33" s="27"/>
      <c r="U33" s="27"/>
      <c r="V33" s="27"/>
      <c r="W33" s="27"/>
    </row>
    <row r="34" spans="2:23" ht="15" customHeight="1" x14ac:dyDescent="0.3">
      <c r="B34" s="15"/>
      <c r="C34" s="23"/>
      <c r="Q34" s="27"/>
      <c r="R34" s="27"/>
      <c r="S34" s="27"/>
      <c r="T34" s="27"/>
      <c r="U34" s="27"/>
      <c r="V34" s="27"/>
      <c r="W34" s="27"/>
    </row>
    <row r="35" spans="2:23" ht="15" customHeight="1" x14ac:dyDescent="0.3">
      <c r="B35" s="15"/>
      <c r="C35" s="23"/>
      <c r="Q35" s="27"/>
      <c r="R35" s="27"/>
      <c r="S35" s="27"/>
      <c r="T35" s="27"/>
      <c r="U35" s="27"/>
      <c r="V35" s="27"/>
      <c r="W35" s="27"/>
    </row>
    <row r="36" spans="2:23" ht="15" customHeight="1" x14ac:dyDescent="0.3">
      <c r="B36" s="15"/>
      <c r="C36" s="23"/>
      <c r="Q36" s="27"/>
      <c r="R36" s="27"/>
      <c r="S36" s="27"/>
      <c r="T36" s="27"/>
      <c r="U36" s="27"/>
      <c r="V36" s="27"/>
      <c r="W36" s="27"/>
    </row>
    <row r="37" spans="2:23" ht="15" customHeight="1" x14ac:dyDescent="0.3">
      <c r="Q37" s="27"/>
      <c r="R37" s="27"/>
      <c r="S37" s="27"/>
      <c r="T37" s="27"/>
      <c r="U37" s="27"/>
      <c r="V37" s="27"/>
      <c r="W37" s="27"/>
    </row>
    <row r="38" spans="2:23" x14ac:dyDescent="0.3">
      <c r="Q38" s="27"/>
      <c r="R38" s="27"/>
      <c r="S38" s="27"/>
      <c r="T38" s="27"/>
      <c r="U38" s="27"/>
      <c r="V38" s="27"/>
      <c r="W38" s="27"/>
    </row>
    <row r="39" spans="2:23" x14ac:dyDescent="0.3">
      <c r="Q39" s="27"/>
      <c r="R39" s="27"/>
      <c r="S39" s="27"/>
      <c r="T39" s="27"/>
      <c r="U39" s="27"/>
      <c r="V39" s="27"/>
      <c r="W39" s="27"/>
    </row>
    <row r="40" spans="2:23" x14ac:dyDescent="0.3">
      <c r="Q40" s="27"/>
      <c r="R40" s="27"/>
      <c r="S40" s="27"/>
      <c r="T40" s="27"/>
      <c r="U40" s="27"/>
      <c r="V40" s="27"/>
      <c r="W40" s="27"/>
    </row>
    <row r="41" spans="2:23" x14ac:dyDescent="0.3">
      <c r="Q41" s="27"/>
      <c r="R41" s="27"/>
      <c r="S41" s="27"/>
      <c r="T41" s="27"/>
      <c r="U41" s="27"/>
      <c r="V41" s="27"/>
      <c r="W41" s="27"/>
    </row>
    <row r="42" spans="2:23" x14ac:dyDescent="0.3">
      <c r="Q42" s="27"/>
      <c r="R42" s="27"/>
      <c r="S42" s="27"/>
      <c r="T42" s="27"/>
      <c r="U42" s="27"/>
      <c r="V42" s="27"/>
      <c r="W42" s="27"/>
    </row>
    <row r="43" spans="2:23" x14ac:dyDescent="0.3">
      <c r="Q43" s="27"/>
      <c r="R43" s="27"/>
      <c r="S43" s="27"/>
      <c r="T43" s="27"/>
      <c r="U43" s="27"/>
      <c r="V43" s="27"/>
      <c r="W43" s="27"/>
    </row>
    <row r="44" spans="2:23" x14ac:dyDescent="0.3">
      <c r="Q44" s="27"/>
      <c r="R44" s="27"/>
      <c r="S44" s="27"/>
      <c r="T44" s="27"/>
      <c r="U44" s="27"/>
      <c r="V44" s="27"/>
      <c r="W44" s="27"/>
    </row>
    <row r="45" spans="2:23" x14ac:dyDescent="0.3">
      <c r="Q45" s="27"/>
      <c r="R45" s="27"/>
      <c r="S45" s="27"/>
      <c r="T45" s="27"/>
      <c r="U45" s="27"/>
      <c r="V45" s="27"/>
      <c r="W45" s="27"/>
    </row>
    <row r="46" spans="2:23" x14ac:dyDescent="0.3">
      <c r="Q46" s="27"/>
      <c r="R46" s="27"/>
      <c r="S46" s="27"/>
      <c r="T46" s="27"/>
      <c r="U46" s="27"/>
      <c r="V46" s="27"/>
      <c r="W46" s="27"/>
    </row>
  </sheetData>
  <sheetProtection algorithmName="SHA-512" hashValue="AspChhDQFUvH/FY9rmcwFdiXkJ77bCh9/uEO+JGp7DkSL7ePIG6Ekoz1iHOhk5oABZLn3WZoDD/j4qgZRzMDTg==" saltValue="u2IZH58V7kT6LdhZjfqL2g==" spinCount="100000" sheet="1" insertHyperlinks="0"/>
  <protectedRanges>
    <protectedRange sqref="C3:C5 E3:E5 G3:G7 C10:C13" name="Rango1"/>
  </protectedRanges>
  <mergeCells count="6">
    <mergeCell ref="Q12:R14"/>
    <mergeCell ref="Q16:R16"/>
    <mergeCell ref="K3:O3"/>
    <mergeCell ref="B2:C2"/>
    <mergeCell ref="D2:E2"/>
    <mergeCell ref="F2:G2"/>
  </mergeCells>
  <dataValidations count="2">
    <dataValidation type="list" allowBlank="1" showInputMessage="1" showErrorMessage="1" sqref="G3" xr:uid="{5CED474B-A9D1-4FAF-A985-15BA431065B6}">
      <formula1>$I$3:$I$6</formula1>
    </dataValidation>
    <dataValidation type="list" allowBlank="1" showInputMessage="1" showErrorMessage="1" sqref="G4" xr:uid="{9F3BEDA4-5F52-4019-852C-6483DD227068}">
      <formula1>$I$8:$I$9</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583A7-6120-43DD-BC1D-5E1E5F6743AF}">
  <dimension ref="B2:P63"/>
  <sheetViews>
    <sheetView zoomScale="85" zoomScaleNormal="85" workbookViewId="0">
      <selection activeCell="I2" sqref="I2"/>
    </sheetView>
  </sheetViews>
  <sheetFormatPr baseColWidth="10" defaultColWidth="11.44140625" defaultRowHeight="14.4" x14ac:dyDescent="0.3"/>
  <cols>
    <col min="2" max="2" width="21" customWidth="1"/>
    <col min="3" max="3" width="12.33203125" customWidth="1"/>
    <col min="4" max="4" width="15.33203125" customWidth="1"/>
    <col min="5" max="5" width="23" bestFit="1" customWidth="1"/>
    <col min="6" max="6" width="16.6640625" customWidth="1"/>
    <col min="7" max="7" width="13.33203125" customWidth="1"/>
    <col min="8" max="8" width="14.88671875" customWidth="1"/>
    <col min="9" max="9" width="14.6640625" customWidth="1"/>
    <col min="11" max="11" width="14.6640625" bestFit="1" customWidth="1"/>
    <col min="12" max="12" width="11.5546875" bestFit="1" customWidth="1"/>
    <col min="13" max="13" width="14" customWidth="1"/>
  </cols>
  <sheetData>
    <row r="2" spans="2:14" ht="28.8" x14ac:dyDescent="0.3">
      <c r="B2" s="18" t="s">
        <v>164</v>
      </c>
      <c r="C2" s="36" t="s">
        <v>165</v>
      </c>
      <c r="D2" s="36" t="s">
        <v>166</v>
      </c>
      <c r="E2" s="36" t="s">
        <v>167</v>
      </c>
      <c r="F2" s="36" t="s">
        <v>168</v>
      </c>
      <c r="G2" s="30"/>
      <c r="H2" s="36" t="s">
        <v>269</v>
      </c>
      <c r="I2" s="20">
        <f>IF('DATOS INCERTIDUMBRE'!$G$3="Manómetro Crystal 5K",'CÁLCULO INCERTIDUMBRE'!$F$3,IF('DATOS INCERTIDUMBRE'!$G$3="Manómetro Crystal 1K",'CÁLCULO INCERTIDUMBRE'!$F$5,IF('DATOS INCERTIDUMBRE'!$G$3="Manómetro Additel",'CÁLCULO INCERTIDUMBRE'!$F$4,F6)))</f>
        <v>0.18224339680504575</v>
      </c>
    </row>
    <row r="3" spans="2:14" ht="33" customHeight="1" x14ac:dyDescent="0.3">
      <c r="B3" s="22" t="s">
        <v>169</v>
      </c>
      <c r="C3" s="20">
        <f>SQRT(SUMSQ(D29*F29,$C$50*$E$50,$M$27))</f>
        <v>0.19917267248307727</v>
      </c>
      <c r="D3" s="22">
        <f>(C3^4)/((((D29*F29)^4)/E29)+((($C$50*$E$50)^4)/$D$50)+((($M$27)^4)/14))</f>
        <v>137.78220949149699</v>
      </c>
      <c r="E3" s="20">
        <f>TINV(1-0.9545,D3)</f>
        <v>2.018414963127011</v>
      </c>
      <c r="F3" s="22">
        <f>E3*C3</f>
        <v>0.40201310238583865</v>
      </c>
      <c r="G3" s="15"/>
      <c r="H3" s="31"/>
      <c r="I3" s="15"/>
    </row>
    <row r="4" spans="2:14" ht="33" customHeight="1" x14ac:dyDescent="0.3">
      <c r="B4" s="22" t="s">
        <v>170</v>
      </c>
      <c r="C4" s="20">
        <f>SQRT(SUMSQ(D30*F30,$C$50*$E$50,$M$27))</f>
        <v>0.29098772134240924</v>
      </c>
      <c r="D4" s="22">
        <f>(C4^4)/((((D30*F30)^4)/E30)+((($C$50*$E$50)^4)/$D$50)+((($M$27)^4)/14))</f>
        <v>77.59990260604836</v>
      </c>
      <c r="E4" s="20">
        <f t="shared" ref="E4" si="0">TINV(1-0.9545,D4)</f>
        <v>2.0329929270639311</v>
      </c>
      <c r="F4" s="22">
        <f t="shared" ref="F4:F5" si="1">E4*C4</f>
        <v>0.59157597935156814</v>
      </c>
      <c r="I4" s="15"/>
    </row>
    <row r="5" spans="2:14" ht="33" customHeight="1" x14ac:dyDescent="0.3">
      <c r="B5" s="22" t="s">
        <v>171</v>
      </c>
      <c r="C5" s="20">
        <f>SQRT(SUMSQ(D31*F31,$C$50*$E$50,$M$27))</f>
        <v>8.8501237757087486E-2</v>
      </c>
      <c r="D5" s="22">
        <f>(C5^4)/((((D31*F31)^4)/E31)+((($C$50*$E$50)^4)/$D$50)+((($M$27)^4)/14))</f>
        <v>146.77269919738791</v>
      </c>
      <c r="E5" s="20">
        <f>TINV(1-0.9545,D5)</f>
        <v>2.0172703809640331</v>
      </c>
      <c r="F5" s="22">
        <f t="shared" si="1"/>
        <v>0.17853092560602835</v>
      </c>
      <c r="I5" s="15"/>
    </row>
    <row r="6" spans="2:14" ht="33" customHeight="1" x14ac:dyDescent="0.3">
      <c r="B6" s="22" t="s">
        <v>274</v>
      </c>
      <c r="C6" s="20">
        <f>SQRT(SUMSQ(D32*F32,$C$50*$E$50,$M$27))</f>
        <v>9.0346886716745803E-2</v>
      </c>
      <c r="D6" s="22">
        <f>(C6^4)/((((D32*F32)^4)/E32)+((($C$50*$E$50)^4)/$D$50)+((($M$27)^4)/14))</f>
        <v>147.1081897984113</v>
      </c>
      <c r="E6" s="20">
        <f>TINV(1-0.9545,D6)</f>
        <v>2.0171519288363804</v>
      </c>
      <c r="F6" s="22">
        <f t="shared" ref="F6" si="2">E6*C6</f>
        <v>0.18224339680504575</v>
      </c>
      <c r="I6" s="15"/>
    </row>
    <row r="7" spans="2:14" x14ac:dyDescent="0.3">
      <c r="B7" s="15"/>
      <c r="C7" s="15"/>
      <c r="D7" s="15"/>
      <c r="E7" s="15"/>
      <c r="F7" s="40"/>
    </row>
    <row r="8" spans="2:14" x14ac:dyDescent="0.3">
      <c r="B8" s="295" t="s">
        <v>172</v>
      </c>
      <c r="C8" s="295"/>
      <c r="D8" s="15"/>
      <c r="E8" s="278" t="s">
        <v>173</v>
      </c>
      <c r="F8" s="278"/>
    </row>
    <row r="9" spans="2:14" x14ac:dyDescent="0.3">
      <c r="B9" s="18" t="s">
        <v>174</v>
      </c>
      <c r="C9" s="18" t="s">
        <v>175</v>
      </c>
      <c r="D9" s="15"/>
      <c r="E9" s="20" t="s">
        <v>176</v>
      </c>
      <c r="F9" s="61">
        <f>'DATOS INCERTIDUMBRE'!E5</f>
        <v>0</v>
      </c>
      <c r="H9" s="14"/>
      <c r="I9" s="15"/>
    </row>
    <row r="10" spans="2:14" x14ac:dyDescent="0.3">
      <c r="B10" s="20">
        <v>1</v>
      </c>
      <c r="C10" s="53">
        <f>'DATOS INCERTIDUMBRE'!D10</f>
        <v>-1.07056218167401E-3</v>
      </c>
      <c r="D10" s="15"/>
      <c r="E10" s="20" t="s">
        <v>138</v>
      </c>
      <c r="F10" s="20">
        <f>'DATOS INCERTIDUMBRE'!E3</f>
        <v>0</v>
      </c>
      <c r="H10" s="14"/>
      <c r="I10" s="15"/>
    </row>
    <row r="11" spans="2:14" x14ac:dyDescent="0.3">
      <c r="B11" s="20">
        <v>2</v>
      </c>
      <c r="C11" s="53">
        <f>'DATOS INCERTIDUMBRE'!D11</f>
        <v>-1.07056218167401E-3</v>
      </c>
      <c r="E11" s="20" t="s">
        <v>143</v>
      </c>
      <c r="F11" s="20">
        <f>'DATOS INCERTIDUMBRE'!E4</f>
        <v>0</v>
      </c>
    </row>
    <row r="12" spans="2:14" x14ac:dyDescent="0.3">
      <c r="B12" s="20">
        <v>3</v>
      </c>
      <c r="C12" s="53">
        <f>'DATOS INCERTIDUMBRE'!D12</f>
        <v>-1.07056218167401E-3</v>
      </c>
      <c r="D12" s="14"/>
      <c r="G12" s="14"/>
      <c r="H12" s="14"/>
      <c r="I12" s="14"/>
    </row>
    <row r="13" spans="2:14" x14ac:dyDescent="0.3">
      <c r="B13" s="20">
        <v>4</v>
      </c>
      <c r="C13" s="53">
        <f>'DATOS INCERTIDUMBRE'!D13</f>
        <v>-1.07056218167401E-3</v>
      </c>
      <c r="D13" s="30"/>
      <c r="G13" s="30"/>
      <c r="H13" s="30"/>
      <c r="I13" s="30"/>
    </row>
    <row r="14" spans="2:14" x14ac:dyDescent="0.3">
      <c r="B14" s="20" t="s">
        <v>163</v>
      </c>
      <c r="C14" s="53">
        <f>AVERAGE(C10:C13)</f>
        <v>-1.07056218167401E-3</v>
      </c>
      <c r="D14" s="15"/>
      <c r="G14" s="15"/>
      <c r="H14" s="15"/>
      <c r="I14" s="15"/>
    </row>
    <row r="15" spans="2:14" ht="15" thickBot="1" x14ac:dyDescent="0.35">
      <c r="D15" s="15"/>
      <c r="E15" s="15"/>
      <c r="F15" s="15"/>
      <c r="G15" s="15"/>
      <c r="H15" s="15"/>
      <c r="I15" s="15"/>
    </row>
    <row r="16" spans="2:14" ht="28.8" x14ac:dyDescent="0.3">
      <c r="B16" s="310" t="s">
        <v>179</v>
      </c>
      <c r="C16" s="311"/>
      <c r="D16" s="43" t="s">
        <v>180</v>
      </c>
      <c r="E16" s="43" t="s">
        <v>181</v>
      </c>
      <c r="F16" s="43" t="s">
        <v>182</v>
      </c>
      <c r="G16" s="43" t="s">
        <v>183</v>
      </c>
      <c r="H16" s="43" t="s">
        <v>184</v>
      </c>
      <c r="I16" s="44" t="s">
        <v>185</v>
      </c>
      <c r="J16" s="15"/>
      <c r="K16" s="310" t="s">
        <v>177</v>
      </c>
      <c r="L16" s="311"/>
      <c r="M16" s="313"/>
      <c r="N16" s="15"/>
    </row>
    <row r="17" spans="2:14" x14ac:dyDescent="0.3">
      <c r="B17" s="312" t="s">
        <v>169</v>
      </c>
      <c r="C17" s="295"/>
      <c r="D17" s="20">
        <v>0.1</v>
      </c>
      <c r="E17" s="20">
        <v>0.26</v>
      </c>
      <c r="F17" s="20">
        <v>1.1396482165322281E-2</v>
      </c>
      <c r="G17" s="20">
        <f>STDEV($C$10:$C$13)</f>
        <v>0</v>
      </c>
      <c r="H17" s="20">
        <v>0.24</v>
      </c>
      <c r="I17" s="34">
        <v>2</v>
      </c>
      <c r="J17" s="15"/>
      <c r="K17" s="32" t="s">
        <v>154</v>
      </c>
      <c r="L17" s="18" t="s">
        <v>158</v>
      </c>
      <c r="M17" s="33" t="s">
        <v>158</v>
      </c>
      <c r="N17" s="15"/>
    </row>
    <row r="18" spans="2:14" x14ac:dyDescent="0.3">
      <c r="B18" s="312" t="s">
        <v>170</v>
      </c>
      <c r="C18" s="295"/>
      <c r="D18" s="20">
        <v>0.1</v>
      </c>
      <c r="E18" s="20">
        <v>0.45</v>
      </c>
      <c r="F18" s="20">
        <v>1.2934977660370425E-2</v>
      </c>
      <c r="G18" s="20">
        <f>STDEV($C$10:$C$13)</f>
        <v>0</v>
      </c>
      <c r="H18" s="20">
        <v>0.24</v>
      </c>
      <c r="I18" s="34">
        <v>2</v>
      </c>
      <c r="J18" s="15"/>
      <c r="K18" s="314" t="s">
        <v>178</v>
      </c>
      <c r="L18" s="20">
        <v>65.08</v>
      </c>
      <c r="M18" s="34">
        <f>COUNT(L18:L32)</f>
        <v>15</v>
      </c>
      <c r="N18" s="15"/>
    </row>
    <row r="19" spans="2:14" x14ac:dyDescent="0.3">
      <c r="B19" s="312" t="s">
        <v>171</v>
      </c>
      <c r="C19" s="295"/>
      <c r="D19" s="20">
        <v>0.1</v>
      </c>
      <c r="E19" s="20">
        <v>9.1999999999999998E-2</v>
      </c>
      <c r="F19" s="20">
        <v>1.6988096604089599E-2</v>
      </c>
      <c r="G19" s="20">
        <f>STDEV($C$10:$C$13)</f>
        <v>0</v>
      </c>
      <c r="H19" s="20">
        <v>9.1999999999999998E-2</v>
      </c>
      <c r="I19" s="34">
        <v>2</v>
      </c>
      <c r="J19" s="15"/>
      <c r="K19" s="314"/>
      <c r="L19" s="20">
        <v>65.28</v>
      </c>
      <c r="M19" s="33" t="s">
        <v>186</v>
      </c>
      <c r="N19" s="15"/>
    </row>
    <row r="20" spans="2:14" x14ac:dyDescent="0.3">
      <c r="B20" s="312" t="s">
        <v>274</v>
      </c>
      <c r="C20" s="295"/>
      <c r="D20" s="20">
        <v>0.1</v>
      </c>
      <c r="E20" s="20">
        <v>9.7000000000000003E-2</v>
      </c>
      <c r="F20" s="20">
        <v>8.2119596383476191E-3</v>
      </c>
      <c r="G20" s="20">
        <f>STDEV($C$10:$C$13)</f>
        <v>0</v>
      </c>
      <c r="H20" s="20">
        <v>9.7000000000000003E-2</v>
      </c>
      <c r="I20" s="34">
        <v>2</v>
      </c>
      <c r="J20" s="15"/>
      <c r="K20" s="314"/>
      <c r="L20" s="20">
        <v>65.08</v>
      </c>
      <c r="M20" s="315">
        <f>STDEV(L18:L32)</f>
        <v>0.16308922477617963</v>
      </c>
      <c r="N20" s="15"/>
    </row>
    <row r="21" spans="2:14" x14ac:dyDescent="0.3">
      <c r="B21" s="38"/>
      <c r="C21" s="15"/>
      <c r="D21" s="15"/>
      <c r="E21" s="15"/>
      <c r="F21" s="15"/>
      <c r="G21" s="15"/>
      <c r="H21" s="15"/>
      <c r="I21" s="39"/>
      <c r="J21" s="15"/>
      <c r="K21" s="314" t="s">
        <v>187</v>
      </c>
      <c r="L21" s="20">
        <v>65.010000000000005</v>
      </c>
      <c r="M21" s="315"/>
      <c r="N21" s="15"/>
    </row>
    <row r="22" spans="2:14" ht="29.4" customHeight="1" x14ac:dyDescent="0.3">
      <c r="B22" s="319" t="s">
        <v>188</v>
      </c>
      <c r="C22" s="320"/>
      <c r="D22" s="36" t="s">
        <v>189</v>
      </c>
      <c r="E22" s="36" t="s">
        <v>190</v>
      </c>
      <c r="F22" s="36" t="s">
        <v>191</v>
      </c>
      <c r="G22" s="36" t="s">
        <v>192</v>
      </c>
      <c r="H22" s="36" t="s">
        <v>193</v>
      </c>
      <c r="I22" s="45" t="s">
        <v>194</v>
      </c>
      <c r="J22" s="15"/>
      <c r="K22" s="314"/>
      <c r="L22" s="20">
        <v>65.16</v>
      </c>
      <c r="M22" s="315"/>
      <c r="N22" s="15"/>
    </row>
    <row r="23" spans="2:14" x14ac:dyDescent="0.3">
      <c r="B23" s="312" t="s">
        <v>169</v>
      </c>
      <c r="C23" s="295"/>
      <c r="D23" s="46">
        <f>D17/SQRT(12)</f>
        <v>2.8867513459481291E-2</v>
      </c>
      <c r="E23" s="20">
        <f>E17/SQRT(3)</f>
        <v>0.15011106998930271</v>
      </c>
      <c r="F23" s="20">
        <f>F17</f>
        <v>1.1396482165322281E-2</v>
      </c>
      <c r="G23" s="20">
        <f>G17/SQRT(COUNT(C10:C13))</f>
        <v>0</v>
      </c>
      <c r="H23" s="20">
        <f>H17/I17</f>
        <v>0.12</v>
      </c>
      <c r="I23" s="34">
        <f>SQRT(SUMSQ(D23:H23))</f>
        <v>0.19467035334742466</v>
      </c>
      <c r="J23" s="15"/>
      <c r="K23" s="314"/>
      <c r="L23" s="20">
        <v>65.19</v>
      </c>
      <c r="M23" s="315"/>
      <c r="N23" s="15"/>
    </row>
    <row r="24" spans="2:14" x14ac:dyDescent="0.3">
      <c r="B24" s="312" t="s">
        <v>170</v>
      </c>
      <c r="C24" s="295"/>
      <c r="D24" s="20">
        <f>D18/SQRT(12)</f>
        <v>2.8867513459481291E-2</v>
      </c>
      <c r="E24" s="20">
        <f>E18/SQRT(3)</f>
        <v>0.25980762113533162</v>
      </c>
      <c r="F24" s="20">
        <f>F18</f>
        <v>1.2934977660370425E-2</v>
      </c>
      <c r="G24" s="20">
        <f>G18/SQRT(COUNT(C10:C13))</f>
        <v>0</v>
      </c>
      <c r="H24" s="20">
        <f>H18/I18</f>
        <v>0.12</v>
      </c>
      <c r="I24" s="34">
        <f>SQRT(SUMSQ(D24:H24))</f>
        <v>0.28792472450348483</v>
      </c>
      <c r="J24" s="15"/>
      <c r="K24" s="314" t="s">
        <v>195</v>
      </c>
      <c r="L24" s="20">
        <v>65.34</v>
      </c>
      <c r="M24" s="315"/>
      <c r="N24" s="15"/>
    </row>
    <row r="25" spans="2:14" x14ac:dyDescent="0.3">
      <c r="B25" s="312" t="s">
        <v>171</v>
      </c>
      <c r="C25" s="295"/>
      <c r="D25" s="20">
        <f t="shared" ref="D25:D26" si="3">D19/SQRT(12)</f>
        <v>2.8867513459481291E-2</v>
      </c>
      <c r="E25" s="20">
        <f>E19/SQRT(3)</f>
        <v>5.3116224765445572E-2</v>
      </c>
      <c r="F25" s="20">
        <f>F19</f>
        <v>1.6988096604089599E-2</v>
      </c>
      <c r="G25" s="20">
        <f>G19/SQRT(COUNT(C10:C13))</f>
        <v>0</v>
      </c>
      <c r="H25" s="20">
        <f>H19/I19</f>
        <v>4.5999999999999999E-2</v>
      </c>
      <c r="I25" s="34">
        <f t="shared" ref="I25" si="4">SQRT(SUMSQ(D25:H25))</f>
        <v>7.7841262148660897E-2</v>
      </c>
      <c r="J25" s="15"/>
      <c r="K25" s="314"/>
      <c r="L25" s="28">
        <v>65.16</v>
      </c>
      <c r="M25" s="297" t="s">
        <v>196</v>
      </c>
      <c r="N25" s="15"/>
    </row>
    <row r="26" spans="2:14" x14ac:dyDescent="0.3">
      <c r="B26" s="312" t="s">
        <v>274</v>
      </c>
      <c r="C26" s="295"/>
      <c r="D26" s="20">
        <f t="shared" si="3"/>
        <v>2.8867513459481291E-2</v>
      </c>
      <c r="E26" s="20">
        <f>E20/SQRT(3)</f>
        <v>5.6002976111393703E-2</v>
      </c>
      <c r="F26" s="20">
        <f>F20</f>
        <v>8.2119596383476191E-3</v>
      </c>
      <c r="G26" s="20">
        <f>G20/SQRT(COUNT(C11:C14))</f>
        <v>0</v>
      </c>
      <c r="H26" s="20">
        <f>H20/I20</f>
        <v>4.8500000000000001E-2</v>
      </c>
      <c r="I26" s="34">
        <f t="shared" ref="I26" si="5">SQRT(SUMSQ(D26:H26))</f>
        <v>7.9933428224795405E-2</v>
      </c>
      <c r="J26" s="15"/>
      <c r="K26" s="314"/>
      <c r="L26" s="20">
        <v>64.86</v>
      </c>
      <c r="M26" s="298"/>
      <c r="N26" s="15"/>
    </row>
    <row r="27" spans="2:14" x14ac:dyDescent="0.3">
      <c r="B27" s="38"/>
      <c r="C27" s="15"/>
      <c r="D27" s="15"/>
      <c r="E27" s="15"/>
      <c r="F27" s="15"/>
      <c r="G27" s="15"/>
      <c r="H27" s="15"/>
      <c r="I27" s="39"/>
      <c r="J27" s="15"/>
      <c r="K27" s="314" t="s">
        <v>197</v>
      </c>
      <c r="L27" s="20">
        <v>64.7</v>
      </c>
      <c r="M27" s="299">
        <f>M20/SQRT(M18)</f>
        <v>4.2109456766934783E-2</v>
      </c>
      <c r="N27" s="15"/>
    </row>
    <row r="28" spans="2:14" ht="43.2" x14ac:dyDescent="0.3">
      <c r="B28" s="319" t="s">
        <v>188</v>
      </c>
      <c r="C28" s="320"/>
      <c r="D28" s="36" t="s">
        <v>198</v>
      </c>
      <c r="E28" s="36" t="s">
        <v>166</v>
      </c>
      <c r="F28" s="36" t="s">
        <v>199</v>
      </c>
      <c r="G28" s="15"/>
      <c r="H28" s="15"/>
      <c r="I28" s="39"/>
      <c r="J28" s="15"/>
      <c r="K28" s="314"/>
      <c r="L28" s="20">
        <v>65.099999999999994</v>
      </c>
      <c r="M28" s="300"/>
      <c r="N28" s="15"/>
    </row>
    <row r="29" spans="2:14" x14ac:dyDescent="0.3">
      <c r="B29" s="312" t="s">
        <v>169</v>
      </c>
      <c r="C29" s="282"/>
      <c r="D29" s="20">
        <f>I23</f>
        <v>0.19467035334742466</v>
      </c>
      <c r="E29" s="20">
        <f>+(D29^4)/(((D23^4)/200)+((E23^4)/50)+((F23^4)/10)+((G23^4)/3)+((H23^4)/200))</f>
        <v>128.26209077109331</v>
      </c>
      <c r="F29" s="20">
        <v>1</v>
      </c>
      <c r="G29" s="15"/>
      <c r="H29" s="15"/>
      <c r="I29" s="39"/>
      <c r="J29" s="15"/>
      <c r="K29" s="314"/>
      <c r="L29" s="20">
        <v>65.23</v>
      </c>
      <c r="M29" s="300"/>
      <c r="N29" s="15"/>
    </row>
    <row r="30" spans="2:14" x14ac:dyDescent="0.3">
      <c r="B30" s="312" t="s">
        <v>170</v>
      </c>
      <c r="C30" s="282"/>
      <c r="D30" s="20">
        <f t="shared" ref="D30" si="6">I24</f>
        <v>0.28792472450348483</v>
      </c>
      <c r="E30" s="20">
        <f>+(D30^4)/(((D24^4)/200)+((E24^4)/50)+((F24^4)/10)+((G24^4)/3)+((H24^4)/200))</f>
        <v>74.5650543607901</v>
      </c>
      <c r="F30" s="20">
        <v>1</v>
      </c>
      <c r="G30" s="15"/>
      <c r="H30" s="15"/>
      <c r="I30" s="39"/>
      <c r="J30" s="15"/>
      <c r="K30" s="314" t="s">
        <v>200</v>
      </c>
      <c r="L30" s="20">
        <v>65.16</v>
      </c>
      <c r="M30" s="300"/>
      <c r="N30" s="15"/>
    </row>
    <row r="31" spans="2:14" x14ac:dyDescent="0.3">
      <c r="B31" s="312" t="s">
        <v>171</v>
      </c>
      <c r="C31" s="295"/>
      <c r="D31" s="20">
        <f>I25</f>
        <v>7.7841262148660897E-2</v>
      </c>
      <c r="E31" s="20">
        <f>+(D31^4)/(((D25^4)/200)+((E25^4)/50)+((F25^4)/10)+((G25^4)/3)+((H25^4)/200))</f>
        <v>189.85102309185763</v>
      </c>
      <c r="F31" s="20">
        <v>1</v>
      </c>
      <c r="G31" s="15"/>
      <c r="H31" s="15"/>
      <c r="I31" s="39"/>
      <c r="J31" s="15"/>
      <c r="K31" s="314"/>
      <c r="L31" s="20">
        <v>65.06</v>
      </c>
      <c r="M31" s="300"/>
      <c r="N31" s="15"/>
    </row>
    <row r="32" spans="2:14" ht="15" thickBot="1" x14ac:dyDescent="0.35">
      <c r="B32" s="317" t="s">
        <v>274</v>
      </c>
      <c r="C32" s="318"/>
      <c r="D32" s="35">
        <f>I26</f>
        <v>7.9933428224795405E-2</v>
      </c>
      <c r="E32" s="35">
        <f>+(D32^4)/(((D26^4)/200)+((E26^4)/50)+((F26^4)/10)+((G26^4)/3)+((H26^4)/200))</f>
        <v>178.79771310497514</v>
      </c>
      <c r="F32" s="35">
        <v>1</v>
      </c>
      <c r="G32" s="41"/>
      <c r="H32" s="41"/>
      <c r="I32" s="42"/>
      <c r="J32" s="15"/>
      <c r="K32" s="316"/>
      <c r="L32" s="35">
        <v>64.959999999999994</v>
      </c>
      <c r="M32" s="301"/>
      <c r="N32" s="15"/>
    </row>
    <row r="33" spans="2:16" ht="15" thickBot="1" x14ac:dyDescent="0.35">
      <c r="B33" s="15"/>
      <c r="C33" s="15"/>
      <c r="D33" s="15"/>
      <c r="E33" s="15"/>
      <c r="F33" s="15"/>
      <c r="G33" s="15"/>
      <c r="H33" s="15"/>
      <c r="I33" s="15"/>
      <c r="J33" s="15"/>
      <c r="N33" s="15"/>
    </row>
    <row r="34" spans="2:16" ht="40.200000000000003" customHeight="1" x14ac:dyDescent="0.3">
      <c r="B34" s="310" t="s">
        <v>201</v>
      </c>
      <c r="C34" s="311"/>
      <c r="D34" s="43" t="s">
        <v>202</v>
      </c>
      <c r="E34" s="43" t="s">
        <v>203</v>
      </c>
      <c r="F34" s="43" t="s">
        <v>204</v>
      </c>
      <c r="G34" s="43" t="s">
        <v>205</v>
      </c>
      <c r="H34" s="43" t="s">
        <v>206</v>
      </c>
      <c r="I34" s="37"/>
      <c r="J34" s="15"/>
      <c r="K34" s="15"/>
      <c r="L34" s="15"/>
    </row>
    <row r="35" spans="2:16" ht="15" thickBot="1" x14ac:dyDescent="0.35">
      <c r="B35" s="312" t="s">
        <v>207</v>
      </c>
      <c r="C35" s="295"/>
      <c r="D35" s="20">
        <f>1/1000</f>
        <v>1E-3</v>
      </c>
      <c r="E35" s="20">
        <f>0.42/1000</f>
        <v>4.1999999999999996E-4</v>
      </c>
      <c r="F35" s="20">
        <f>0.0367581286850754/1000</f>
        <v>3.6758128685075402E-5</v>
      </c>
      <c r="G35" s="20">
        <f>0.42/1000</f>
        <v>4.1999999999999996E-4</v>
      </c>
      <c r="H35" s="20">
        <v>2</v>
      </c>
      <c r="I35" s="39"/>
      <c r="J35" s="15"/>
      <c r="K35" s="15"/>
      <c r="L35" s="15"/>
    </row>
    <row r="36" spans="2:16" x14ac:dyDescent="0.3">
      <c r="B36" s="38"/>
      <c r="C36" s="15"/>
      <c r="D36" s="15"/>
      <c r="E36" s="15"/>
      <c r="F36" s="15"/>
      <c r="G36" s="15"/>
      <c r="H36" s="15"/>
      <c r="I36" s="39"/>
      <c r="J36" s="15"/>
      <c r="K36" s="305" t="s">
        <v>208</v>
      </c>
      <c r="L36" s="306"/>
      <c r="M36" s="306"/>
      <c r="N36" s="307"/>
      <c r="O36" s="15"/>
      <c r="P36" s="15"/>
    </row>
    <row r="37" spans="2:16" x14ac:dyDescent="0.3">
      <c r="B37" s="48" t="s">
        <v>188</v>
      </c>
      <c r="C37" s="18" t="s">
        <v>147</v>
      </c>
      <c r="D37" s="15"/>
      <c r="E37" s="309"/>
      <c r="F37" s="309"/>
      <c r="G37" s="54"/>
      <c r="H37" s="15"/>
      <c r="I37" s="39"/>
      <c r="J37" s="15"/>
      <c r="K37" s="32" t="s">
        <v>209</v>
      </c>
      <c r="L37" s="229" t="s">
        <v>210</v>
      </c>
      <c r="M37" s="229"/>
      <c r="N37" s="308"/>
      <c r="O37" s="15"/>
      <c r="P37" s="15"/>
    </row>
    <row r="38" spans="2:16" x14ac:dyDescent="0.3">
      <c r="B38" s="48" t="s">
        <v>211</v>
      </c>
      <c r="C38" s="20">
        <v>0.97</v>
      </c>
      <c r="D38" s="15"/>
      <c r="E38" s="54"/>
      <c r="F38" s="54"/>
      <c r="G38" s="54"/>
      <c r="H38" s="15"/>
      <c r="I38" s="39"/>
      <c r="J38" s="15"/>
      <c r="K38" s="32">
        <v>0.34848000000000001</v>
      </c>
      <c r="L38" s="16" t="s">
        <v>212</v>
      </c>
      <c r="M38" s="58">
        <f>F9</f>
        <v>0</v>
      </c>
      <c r="N38" s="57" t="s">
        <v>99</v>
      </c>
      <c r="O38" s="15"/>
      <c r="P38" s="15"/>
    </row>
    <row r="39" spans="2:16" x14ac:dyDescent="0.3">
      <c r="B39" s="48" t="s">
        <v>213</v>
      </c>
      <c r="C39" s="62">
        <f>((K38*M40)-(K39*M38)*EXP(K40*M39))/(K41+M39)</f>
        <v>0</v>
      </c>
      <c r="D39" s="15"/>
      <c r="E39" s="15"/>
      <c r="F39" s="55"/>
      <c r="G39" s="15"/>
      <c r="H39" s="15"/>
      <c r="I39" s="39"/>
      <c r="J39" s="15"/>
      <c r="K39" s="32">
        <v>8.9999999999999993E-3</v>
      </c>
      <c r="L39" s="16" t="s">
        <v>214</v>
      </c>
      <c r="M39" s="16">
        <f>F10</f>
        <v>0</v>
      </c>
      <c r="N39" s="57" t="s">
        <v>94</v>
      </c>
      <c r="O39" s="15"/>
      <c r="P39" s="15"/>
    </row>
    <row r="40" spans="2:16" x14ac:dyDescent="0.3">
      <c r="B40" s="48" t="s">
        <v>215</v>
      </c>
      <c r="C40" s="20">
        <v>9.77</v>
      </c>
      <c r="D40" s="15"/>
      <c r="E40" s="15"/>
      <c r="F40" s="15"/>
      <c r="G40" s="15"/>
      <c r="H40" s="15"/>
      <c r="I40" s="39"/>
      <c r="J40" s="15"/>
      <c r="K40" s="32">
        <v>6.0999999999999999E-2</v>
      </c>
      <c r="L40" s="16" t="s">
        <v>216</v>
      </c>
      <c r="M40" s="16">
        <f>F11</f>
        <v>0</v>
      </c>
      <c r="N40" s="57" t="s">
        <v>103</v>
      </c>
      <c r="O40" s="15"/>
      <c r="P40" s="15"/>
    </row>
    <row r="41" spans="2:16" ht="15" thickBot="1" x14ac:dyDescent="0.35">
      <c r="B41" s="48" t="s">
        <v>217</v>
      </c>
      <c r="C41" s="20">
        <v>0.45</v>
      </c>
      <c r="D41" s="15"/>
      <c r="E41" s="15"/>
      <c r="F41" s="15"/>
      <c r="G41" s="15"/>
      <c r="H41" s="15"/>
      <c r="I41" s="39"/>
      <c r="J41" s="15"/>
      <c r="K41" s="47">
        <v>273.14999999999998</v>
      </c>
      <c r="L41" s="59"/>
      <c r="M41" s="59"/>
      <c r="N41" s="60"/>
      <c r="O41" s="15"/>
      <c r="P41" s="15"/>
    </row>
    <row r="42" spans="2:16" x14ac:dyDescent="0.3">
      <c r="B42" s="38"/>
      <c r="C42" s="15"/>
      <c r="D42" s="15"/>
      <c r="E42" s="15"/>
      <c r="F42" s="15"/>
      <c r="G42" s="15"/>
      <c r="H42" s="15"/>
      <c r="I42" s="39"/>
      <c r="J42" s="15"/>
      <c r="K42" s="15"/>
      <c r="L42" s="15"/>
      <c r="O42" s="15"/>
      <c r="P42" s="15"/>
    </row>
    <row r="43" spans="2:16" ht="28.8" x14ac:dyDescent="0.3">
      <c r="B43" s="48" t="s">
        <v>188</v>
      </c>
      <c r="C43" s="36" t="s">
        <v>218</v>
      </c>
      <c r="D43" s="36" t="s">
        <v>219</v>
      </c>
      <c r="E43" s="36" t="s">
        <v>220</v>
      </c>
      <c r="F43" s="36" t="s">
        <v>221</v>
      </c>
      <c r="G43" s="36" t="s">
        <v>222</v>
      </c>
      <c r="H43" s="36" t="s">
        <v>223</v>
      </c>
      <c r="I43" s="45" t="s">
        <v>166</v>
      </c>
      <c r="J43" s="15"/>
      <c r="K43" s="15"/>
      <c r="O43" s="15"/>
      <c r="P43" s="15"/>
    </row>
    <row r="44" spans="2:16" x14ac:dyDescent="0.3">
      <c r="B44" s="32" t="s">
        <v>211</v>
      </c>
      <c r="C44" s="20" t="s">
        <v>152</v>
      </c>
      <c r="D44" s="20" t="s">
        <v>152</v>
      </c>
      <c r="E44" s="20" t="s">
        <v>152</v>
      </c>
      <c r="F44" s="20" t="s">
        <v>152</v>
      </c>
      <c r="G44" s="20">
        <f>C38*0.1/SQRT(12)</f>
        <v>2.8001488055696851E-2</v>
      </c>
      <c r="H44" s="20">
        <f>C40*C41</f>
        <v>4.3964999999999996</v>
      </c>
      <c r="I44" s="34">
        <f>+(G44^4)/((G44^4)/200)</f>
        <v>200</v>
      </c>
      <c r="J44" s="15"/>
      <c r="K44" s="15"/>
      <c r="L44" s="15"/>
      <c r="O44" s="15"/>
      <c r="P44" s="15"/>
    </row>
    <row r="45" spans="2:16" x14ac:dyDescent="0.3">
      <c r="B45" s="32" t="s">
        <v>213</v>
      </c>
      <c r="C45" s="20" t="s">
        <v>152</v>
      </c>
      <c r="D45" s="20" t="s">
        <v>152</v>
      </c>
      <c r="E45" s="20" t="s">
        <v>152</v>
      </c>
      <c r="F45" s="20" t="s">
        <v>152</v>
      </c>
      <c r="G45" s="20">
        <f>B63</f>
        <v>3.3082860808896558E-3</v>
      </c>
      <c r="H45" s="20">
        <f>C40*C41</f>
        <v>4.3964999999999996</v>
      </c>
      <c r="I45" s="34">
        <f>C63</f>
        <v>200.97199303534532</v>
      </c>
      <c r="J45" s="15"/>
      <c r="K45" s="15"/>
      <c r="L45" s="15"/>
      <c r="O45" s="15"/>
      <c r="P45" s="15"/>
    </row>
    <row r="46" spans="2:16" x14ac:dyDescent="0.3">
      <c r="B46" s="32" t="s">
        <v>215</v>
      </c>
      <c r="C46" s="20" t="s">
        <v>152</v>
      </c>
      <c r="D46" s="20" t="s">
        <v>152</v>
      </c>
      <c r="E46" s="20" t="s">
        <v>152</v>
      </c>
      <c r="F46" s="20" t="s">
        <v>152</v>
      </c>
      <c r="G46" s="20">
        <f>C40*0.1/SQRT(12)</f>
        <v>0.28203560649913217</v>
      </c>
      <c r="H46" s="20">
        <f>(C38-C39)*C41</f>
        <v>0.4365</v>
      </c>
      <c r="I46" s="34">
        <f t="shared" ref="I46" si="7">+(G46^4)/((G46^4)/200)</f>
        <v>200.00000000000003</v>
      </c>
      <c r="J46" s="15"/>
      <c r="K46" s="15"/>
      <c r="O46" s="15"/>
      <c r="P46" s="15"/>
    </row>
    <row r="47" spans="2:16" x14ac:dyDescent="0.3">
      <c r="B47" s="32" t="s">
        <v>217</v>
      </c>
      <c r="C47" s="20">
        <f>D35/SQRT(12)</f>
        <v>2.886751345948129E-4</v>
      </c>
      <c r="D47" s="20">
        <f>E35/SQRT(3)</f>
        <v>2.4248711305964281E-4</v>
      </c>
      <c r="E47" s="20">
        <f>F35</f>
        <v>3.6758128685075402E-5</v>
      </c>
      <c r="F47" s="20">
        <f>G35/H35</f>
        <v>2.0999999999999998E-4</v>
      </c>
      <c r="G47" s="20">
        <f>SQRT(SUMSQ(C47:F47))</f>
        <v>4.3311025542898645E-4</v>
      </c>
      <c r="H47" s="20">
        <f>(C38-C39)*C40</f>
        <v>9.4768999999999988</v>
      </c>
      <c r="I47" s="34">
        <f>+(G47^4)/(((C47^4)/200)+((D47^4)/50)+((E47^4)/4)+((F47^4)/200))</f>
        <v>308.52683341633548</v>
      </c>
      <c r="J47" s="15"/>
      <c r="K47" s="15"/>
      <c r="O47" s="15"/>
      <c r="P47" s="15"/>
    </row>
    <row r="48" spans="2:16" x14ac:dyDescent="0.3">
      <c r="B48" s="38"/>
      <c r="C48" s="15"/>
      <c r="D48" s="15"/>
      <c r="E48" s="15"/>
      <c r="F48" s="15"/>
      <c r="G48" s="15"/>
      <c r="H48" s="15"/>
      <c r="I48" s="39"/>
      <c r="J48" s="15"/>
      <c r="K48" s="15"/>
    </row>
    <row r="49" spans="2:11" ht="28.8" x14ac:dyDescent="0.3">
      <c r="B49" s="49" t="s">
        <v>224</v>
      </c>
      <c r="C49" s="36" t="s">
        <v>225</v>
      </c>
      <c r="D49" s="36" t="s">
        <v>166</v>
      </c>
      <c r="E49" s="36" t="s">
        <v>199</v>
      </c>
      <c r="F49" s="15"/>
      <c r="G49" s="15"/>
      <c r="H49" s="15"/>
      <c r="I49" s="39"/>
      <c r="J49" s="15"/>
    </row>
    <row r="50" spans="2:11" ht="15" thickBot="1" x14ac:dyDescent="0.35">
      <c r="B50" s="47">
        <f>SQRT(SUMSQ(G44*H44,G45*H45,G46*H46,G47*H47))</f>
        <v>0.17475647953721216</v>
      </c>
      <c r="C50" s="35">
        <f>B50/6894.76</f>
        <v>2.5346274495009565E-5</v>
      </c>
      <c r="D50" s="63">
        <f>(B50^4)/((((G44*H44)^4)/I44)+(((G45*H45)^4)/I45)+(((G46*H46)^4)/I46)+(((G47*H47)^4)/I47))</f>
        <v>406.01129634917152</v>
      </c>
      <c r="E50" s="35">
        <v>1</v>
      </c>
      <c r="F50" s="41"/>
      <c r="G50" s="41"/>
      <c r="H50" s="41"/>
      <c r="I50" s="42"/>
      <c r="J50" s="15"/>
      <c r="K50" s="15"/>
    </row>
    <row r="51" spans="2:11" ht="15" thickBot="1" x14ac:dyDescent="0.35">
      <c r="B51" s="15"/>
      <c r="C51" s="15"/>
      <c r="D51" s="15"/>
      <c r="E51" s="15"/>
      <c r="F51" s="15"/>
      <c r="G51" s="15"/>
      <c r="H51" s="15"/>
      <c r="I51" s="15"/>
      <c r="J51" s="15"/>
      <c r="K51" s="15"/>
    </row>
    <row r="52" spans="2:11" ht="39.6" customHeight="1" x14ac:dyDescent="0.3">
      <c r="B52" s="310" t="s">
        <v>226</v>
      </c>
      <c r="C52" s="311"/>
      <c r="D52" s="43" t="s">
        <v>227</v>
      </c>
      <c r="E52" s="43" t="s">
        <v>228</v>
      </c>
      <c r="F52" s="43" t="s">
        <v>229</v>
      </c>
      <c r="G52" s="43" t="s">
        <v>230</v>
      </c>
      <c r="H52" s="43" t="s">
        <v>206</v>
      </c>
      <c r="I52" s="37"/>
      <c r="J52" s="15"/>
      <c r="K52" s="15"/>
    </row>
    <row r="53" spans="2:11" x14ac:dyDescent="0.3">
      <c r="B53" s="302" t="s">
        <v>231</v>
      </c>
      <c r="C53" s="303"/>
      <c r="D53" s="20">
        <v>0.1</v>
      </c>
      <c r="E53" s="20">
        <v>9.0999999999999998E-2</v>
      </c>
      <c r="F53" s="20">
        <v>2.59</v>
      </c>
      <c r="G53" s="20">
        <v>9.0999999999999998E-2</v>
      </c>
      <c r="H53" s="20">
        <v>2</v>
      </c>
      <c r="I53" s="39"/>
      <c r="J53" s="15"/>
      <c r="K53" s="15"/>
    </row>
    <row r="54" spans="2:11" x14ac:dyDescent="0.3">
      <c r="B54" s="302" t="s">
        <v>232</v>
      </c>
      <c r="C54" s="303"/>
      <c r="D54" s="20">
        <v>0.1</v>
      </c>
      <c r="E54" s="20">
        <v>2.9</v>
      </c>
      <c r="F54" s="20">
        <v>3.32</v>
      </c>
      <c r="G54" s="20">
        <v>2.9</v>
      </c>
      <c r="H54" s="20">
        <v>2</v>
      </c>
      <c r="I54" s="39"/>
      <c r="J54" s="15"/>
      <c r="K54" s="15"/>
    </row>
    <row r="55" spans="2:11" x14ac:dyDescent="0.3">
      <c r="B55" s="304" t="s">
        <v>233</v>
      </c>
      <c r="C55" s="284"/>
      <c r="D55" s="20">
        <v>0.1</v>
      </c>
      <c r="E55" s="20">
        <v>0.46</v>
      </c>
      <c r="F55" s="20">
        <v>0.76</v>
      </c>
      <c r="G55" s="20">
        <v>0.46</v>
      </c>
      <c r="H55" s="20">
        <v>2</v>
      </c>
      <c r="I55" s="39"/>
      <c r="J55" s="15"/>
      <c r="K55" s="15"/>
    </row>
    <row r="56" spans="2:11" x14ac:dyDescent="0.3">
      <c r="B56" s="38"/>
      <c r="C56" s="15"/>
      <c r="D56" s="15"/>
      <c r="E56" s="15"/>
      <c r="F56" s="15"/>
      <c r="G56" s="15"/>
      <c r="H56" s="15"/>
      <c r="I56" s="39"/>
      <c r="J56" s="15"/>
      <c r="K56" s="15"/>
    </row>
    <row r="57" spans="2:11" ht="28.8" x14ac:dyDescent="0.3">
      <c r="B57" s="48" t="s">
        <v>188</v>
      </c>
      <c r="C57" s="36" t="s">
        <v>218</v>
      </c>
      <c r="D57" s="36" t="s">
        <v>219</v>
      </c>
      <c r="E57" s="36" t="s">
        <v>220</v>
      </c>
      <c r="F57" s="36" t="s">
        <v>221</v>
      </c>
      <c r="G57" s="36" t="s">
        <v>222</v>
      </c>
      <c r="H57" s="36" t="s">
        <v>223</v>
      </c>
      <c r="I57" s="45" t="s">
        <v>166</v>
      </c>
      <c r="J57" s="15"/>
      <c r="K57" s="15"/>
    </row>
    <row r="58" spans="2:11" x14ac:dyDescent="0.3">
      <c r="B58" s="32" t="s">
        <v>234</v>
      </c>
      <c r="C58" s="20">
        <f>D53/SQRT(12)</f>
        <v>2.8867513459481291E-2</v>
      </c>
      <c r="D58" s="20">
        <f>E53/SQRT(3)</f>
        <v>5.2538874496255945E-2</v>
      </c>
      <c r="E58" s="20">
        <f>F53</f>
        <v>2.59</v>
      </c>
      <c r="F58" s="20">
        <f>G53/H53</f>
        <v>4.5499999999999999E-2</v>
      </c>
      <c r="G58" s="20">
        <f>SQRT(SUMSQ(C58:F58))</f>
        <v>2.5910931894987228</v>
      </c>
      <c r="H58" s="20">
        <f>0.34848/(273.15+M39)</f>
        <v>1.2757825370675454E-3</v>
      </c>
      <c r="I58" s="34">
        <f>+(G58^4)/(((C58^4)/200)+((D58^4)/50)+((E58^4)/200)+((F58^4)/200))</f>
        <v>200.33772069018843</v>
      </c>
      <c r="J58" s="15"/>
      <c r="K58" s="15"/>
    </row>
    <row r="59" spans="2:11" x14ac:dyDescent="0.3">
      <c r="B59" s="32" t="s">
        <v>235</v>
      </c>
      <c r="C59" s="20">
        <f t="shared" ref="C59:C60" si="8">D54/SQRT(12)</f>
        <v>2.8867513459481291E-2</v>
      </c>
      <c r="D59" s="20">
        <f t="shared" ref="D59:D60" si="9">E54/SQRT(3)</f>
        <v>1.6743157806499147</v>
      </c>
      <c r="E59" s="20">
        <f t="shared" ref="E59:E60" si="10">F54</f>
        <v>3.32</v>
      </c>
      <c r="F59" s="20">
        <f t="shared" ref="F59:F60" si="11">G54/H54</f>
        <v>1.45</v>
      </c>
      <c r="G59" s="20">
        <f t="shared" ref="G59:G60" si="12">SQRT(SUMSQ(C59:F59))</f>
        <v>3.9911234842668883</v>
      </c>
      <c r="H59" s="20">
        <f>(-0.009*EXP(0.061*M39))/(273.15+M39)</f>
        <v>-3.2948929159802305E-5</v>
      </c>
      <c r="I59" s="34">
        <f t="shared" ref="I59" si="13">+(G59^4)/(((C59^4)/200)+((D59^4)/50)+((E59^4)/200)+((F59^4)/200))</f>
        <v>322.51357072636006</v>
      </c>
      <c r="J59" s="15"/>
      <c r="K59" s="15"/>
    </row>
    <row r="60" spans="2:11" x14ac:dyDescent="0.3">
      <c r="B60" s="32" t="s">
        <v>138</v>
      </c>
      <c r="C60" s="20">
        <f t="shared" si="8"/>
        <v>2.8867513459481291E-2</v>
      </c>
      <c r="D60" s="20">
        <f t="shared" si="9"/>
        <v>0.26558112382722787</v>
      </c>
      <c r="E60" s="20">
        <f t="shared" si="10"/>
        <v>0.76</v>
      </c>
      <c r="F60" s="20">
        <f t="shared" si="11"/>
        <v>0.23</v>
      </c>
      <c r="G60" s="20">
        <f t="shared" si="12"/>
        <v>0.83777483052826707</v>
      </c>
      <c r="H60" s="20">
        <f>(-0.000549*M38*EXP(0.061*M39)*(273.15+M39))-((0.34848*M40)-0.009*M38*EXP(0.061*M39))/((273.15+M39)^2)</f>
        <v>0</v>
      </c>
      <c r="I60" s="34">
        <f>+(G60^4)/(((C60^4)/200)+((D60^4)/50)+((E60^4)/200)+(F60^4)/200)</f>
        <v>276.50196061536349</v>
      </c>
      <c r="J60" s="15"/>
      <c r="K60" s="15"/>
    </row>
    <row r="61" spans="2:11" x14ac:dyDescent="0.3">
      <c r="B61" s="38"/>
      <c r="C61" s="15"/>
      <c r="D61" s="15"/>
      <c r="E61" s="15"/>
      <c r="F61" s="15"/>
      <c r="G61" s="15"/>
      <c r="H61" s="15"/>
      <c r="I61" s="39"/>
      <c r="J61" s="15"/>
      <c r="K61" s="15"/>
    </row>
    <row r="62" spans="2:11" ht="28.8" x14ac:dyDescent="0.3">
      <c r="B62" s="48" t="s">
        <v>236</v>
      </c>
      <c r="C62" s="36" t="s">
        <v>166</v>
      </c>
      <c r="D62" s="15"/>
      <c r="E62" s="15"/>
      <c r="F62" s="15"/>
      <c r="G62" s="15"/>
      <c r="H62" s="15"/>
      <c r="I62" s="39"/>
      <c r="J62" s="15"/>
      <c r="K62" s="15"/>
    </row>
    <row r="63" spans="2:11" ht="15" thickBot="1" x14ac:dyDescent="0.35">
      <c r="B63" s="47">
        <f>SQRT(SUMSQ(G58*H58,G59*H59,G60*H60))</f>
        <v>3.3082860808896558E-3</v>
      </c>
      <c r="C63" s="35">
        <f>+(B63^4)/((((G58*H58)^4)/I58)+(((G59*H59)^4)/I59)+(((G60*H60)^4)/I60))</f>
        <v>200.97199303534532</v>
      </c>
      <c r="D63" s="41"/>
      <c r="E63" s="41"/>
      <c r="F63" s="41"/>
      <c r="G63" s="41"/>
      <c r="H63" s="41"/>
      <c r="I63" s="56"/>
      <c r="J63" s="15"/>
      <c r="K63" s="15"/>
    </row>
  </sheetData>
  <sheetProtection algorithmName="SHA-512" hashValue="cgMMY+GzT7Rsc37PgZ6vxe4E2U4U8rrjKyozf0fzZEANDG06pQpS3CTmSMQxm4EGKVUDRwVbNvVsQaeIN5h17A==" saltValue="h+8X8C0HF0S5Zmthi7De5A==" spinCount="100000" sheet="1" objects="1" scenarios="1"/>
  <mergeCells count="35">
    <mergeCell ref="B32:C32"/>
    <mergeCell ref="B22:C22"/>
    <mergeCell ref="B8:C8"/>
    <mergeCell ref="B16:C16"/>
    <mergeCell ref="B17:C17"/>
    <mergeCell ref="B18:C18"/>
    <mergeCell ref="B19:C19"/>
    <mergeCell ref="B20:C20"/>
    <mergeCell ref="B23:C23"/>
    <mergeCell ref="B24:C24"/>
    <mergeCell ref="B25:C25"/>
    <mergeCell ref="B28:C28"/>
    <mergeCell ref="B29:C29"/>
    <mergeCell ref="B26:C26"/>
    <mergeCell ref="M20:M24"/>
    <mergeCell ref="K21:K23"/>
    <mergeCell ref="K24:K26"/>
    <mergeCell ref="K27:K29"/>
    <mergeCell ref="K30:K32"/>
    <mergeCell ref="E8:F8"/>
    <mergeCell ref="M25:M26"/>
    <mergeCell ref="M27:M32"/>
    <mergeCell ref="B54:C54"/>
    <mergeCell ref="B55:C55"/>
    <mergeCell ref="K36:N36"/>
    <mergeCell ref="L37:N37"/>
    <mergeCell ref="E37:F37"/>
    <mergeCell ref="B52:C52"/>
    <mergeCell ref="B53:C53"/>
    <mergeCell ref="B31:C31"/>
    <mergeCell ref="B34:C34"/>
    <mergeCell ref="B35:C35"/>
    <mergeCell ref="B30:C30"/>
    <mergeCell ref="K16:M16"/>
    <mergeCell ref="K18:K20"/>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B0BE3-75B5-47DF-A076-1E2893DCF0AD}">
  <dimension ref="A1:H31"/>
  <sheetViews>
    <sheetView zoomScale="99" zoomScaleNormal="99" workbookViewId="0">
      <selection activeCell="F4" sqref="F4"/>
    </sheetView>
  </sheetViews>
  <sheetFormatPr baseColWidth="10" defaultColWidth="11.44140625" defaultRowHeight="14.4" x14ac:dyDescent="0.3"/>
  <cols>
    <col min="1" max="4" width="21.5546875" style="1" customWidth="1"/>
    <col min="5" max="5" width="11" style="1" customWidth="1"/>
    <col min="6" max="6" width="11.44140625" style="1" customWidth="1"/>
    <col min="7" max="7" width="11.44140625" style="1"/>
    <col min="8" max="8" width="23.6640625" style="1" customWidth="1"/>
    <col min="9" max="256" width="11.44140625" style="1"/>
    <col min="257" max="260" width="21.5546875" style="1" customWidth="1"/>
    <col min="261" max="512" width="11.44140625" style="1"/>
    <col min="513" max="516" width="21.5546875" style="1" customWidth="1"/>
    <col min="517" max="768" width="11.44140625" style="1"/>
    <col min="769" max="772" width="21.5546875" style="1" customWidth="1"/>
    <col min="773" max="1024" width="11.44140625" style="1"/>
    <col min="1025" max="1028" width="21.5546875" style="1" customWidth="1"/>
    <col min="1029" max="1280" width="11.44140625" style="1"/>
    <col min="1281" max="1284" width="21.5546875" style="1" customWidth="1"/>
    <col min="1285" max="1536" width="11.44140625" style="1"/>
    <col min="1537" max="1540" width="21.5546875" style="1" customWidth="1"/>
    <col min="1541" max="1792" width="11.44140625" style="1"/>
    <col min="1793" max="1796" width="21.5546875" style="1" customWidth="1"/>
    <col min="1797" max="2048" width="11.44140625" style="1"/>
    <col min="2049" max="2052" width="21.5546875" style="1" customWidth="1"/>
    <col min="2053" max="2304" width="11.44140625" style="1"/>
    <col min="2305" max="2308" width="21.5546875" style="1" customWidth="1"/>
    <col min="2309" max="2560" width="11.44140625" style="1"/>
    <col min="2561" max="2564" width="21.5546875" style="1" customWidth="1"/>
    <col min="2565" max="2816" width="11.44140625" style="1"/>
    <col min="2817" max="2820" width="21.5546875" style="1" customWidth="1"/>
    <col min="2821" max="3072" width="11.44140625" style="1"/>
    <col min="3073" max="3076" width="21.5546875" style="1" customWidth="1"/>
    <col min="3077" max="3328" width="11.44140625" style="1"/>
    <col min="3329" max="3332" width="21.5546875" style="1" customWidth="1"/>
    <col min="3333" max="3584" width="11.44140625" style="1"/>
    <col min="3585" max="3588" width="21.5546875" style="1" customWidth="1"/>
    <col min="3589" max="3840" width="11.44140625" style="1"/>
    <col min="3841" max="3844" width="21.5546875" style="1" customWidth="1"/>
    <col min="3845" max="4096" width="11.44140625" style="1"/>
    <col min="4097" max="4100" width="21.5546875" style="1" customWidth="1"/>
    <col min="4101" max="4352" width="11.44140625" style="1"/>
    <col min="4353" max="4356" width="21.5546875" style="1" customWidth="1"/>
    <col min="4357" max="4608" width="11.44140625" style="1"/>
    <col min="4609" max="4612" width="21.5546875" style="1" customWidth="1"/>
    <col min="4613" max="4864" width="11.44140625" style="1"/>
    <col min="4865" max="4868" width="21.5546875" style="1" customWidth="1"/>
    <col min="4869" max="5120" width="11.44140625" style="1"/>
    <col min="5121" max="5124" width="21.5546875" style="1" customWidth="1"/>
    <col min="5125" max="5376" width="11.44140625" style="1"/>
    <col min="5377" max="5380" width="21.5546875" style="1" customWidth="1"/>
    <col min="5381" max="5632" width="11.44140625" style="1"/>
    <col min="5633" max="5636" width="21.5546875" style="1" customWidth="1"/>
    <col min="5637" max="5888" width="11.44140625" style="1"/>
    <col min="5889" max="5892" width="21.5546875" style="1" customWidth="1"/>
    <col min="5893" max="6144" width="11.44140625" style="1"/>
    <col min="6145" max="6148" width="21.5546875" style="1" customWidth="1"/>
    <col min="6149" max="6400" width="11.44140625" style="1"/>
    <col min="6401" max="6404" width="21.5546875" style="1" customWidth="1"/>
    <col min="6405" max="6656" width="11.44140625" style="1"/>
    <col min="6657" max="6660" width="21.5546875" style="1" customWidth="1"/>
    <col min="6661" max="6912" width="11.44140625" style="1"/>
    <col min="6913" max="6916" width="21.5546875" style="1" customWidth="1"/>
    <col min="6917" max="7168" width="11.44140625" style="1"/>
    <col min="7169" max="7172" width="21.5546875" style="1" customWidth="1"/>
    <col min="7173" max="7424" width="11.44140625" style="1"/>
    <col min="7425" max="7428" width="21.5546875" style="1" customWidth="1"/>
    <col min="7429" max="7680" width="11.44140625" style="1"/>
    <col min="7681" max="7684" width="21.5546875" style="1" customWidth="1"/>
    <col min="7685" max="7936" width="11.44140625" style="1"/>
    <col min="7937" max="7940" width="21.5546875" style="1" customWidth="1"/>
    <col min="7941" max="8192" width="11.44140625" style="1"/>
    <col min="8193" max="8196" width="21.5546875" style="1" customWidth="1"/>
    <col min="8197" max="8448" width="11.44140625" style="1"/>
    <col min="8449" max="8452" width="21.5546875" style="1" customWidth="1"/>
    <col min="8453" max="8704" width="11.44140625" style="1"/>
    <col min="8705" max="8708" width="21.5546875" style="1" customWidth="1"/>
    <col min="8709" max="8960" width="11.44140625" style="1"/>
    <col min="8961" max="8964" width="21.5546875" style="1" customWidth="1"/>
    <col min="8965" max="9216" width="11.44140625" style="1"/>
    <col min="9217" max="9220" width="21.5546875" style="1" customWidth="1"/>
    <col min="9221" max="9472" width="11.44140625" style="1"/>
    <col min="9473" max="9476" width="21.5546875" style="1" customWidth="1"/>
    <col min="9477" max="9728" width="11.44140625" style="1"/>
    <col min="9729" max="9732" width="21.5546875" style="1" customWidth="1"/>
    <col min="9733" max="9984" width="11.44140625" style="1"/>
    <col min="9985" max="9988" width="21.5546875" style="1" customWidth="1"/>
    <col min="9989" max="10240" width="11.44140625" style="1"/>
    <col min="10241" max="10244" width="21.5546875" style="1" customWidth="1"/>
    <col min="10245" max="10496" width="11.44140625" style="1"/>
    <col min="10497" max="10500" width="21.5546875" style="1" customWidth="1"/>
    <col min="10501" max="10752" width="11.44140625" style="1"/>
    <col min="10753" max="10756" width="21.5546875" style="1" customWidth="1"/>
    <col min="10757" max="11008" width="11.44140625" style="1"/>
    <col min="11009" max="11012" width="21.5546875" style="1" customWidth="1"/>
    <col min="11013" max="11264" width="11.44140625" style="1"/>
    <col min="11265" max="11268" width="21.5546875" style="1" customWidth="1"/>
    <col min="11269" max="11520" width="11.44140625" style="1"/>
    <col min="11521" max="11524" width="21.5546875" style="1" customWidth="1"/>
    <col min="11525" max="11776" width="11.44140625" style="1"/>
    <col min="11777" max="11780" width="21.5546875" style="1" customWidth="1"/>
    <col min="11781" max="12032" width="11.44140625" style="1"/>
    <col min="12033" max="12036" width="21.5546875" style="1" customWidth="1"/>
    <col min="12037" max="12288" width="11.44140625" style="1"/>
    <col min="12289" max="12292" width="21.5546875" style="1" customWidth="1"/>
    <col min="12293" max="12544" width="11.44140625" style="1"/>
    <col min="12545" max="12548" width="21.5546875" style="1" customWidth="1"/>
    <col min="12549" max="12800" width="11.44140625" style="1"/>
    <col min="12801" max="12804" width="21.5546875" style="1" customWidth="1"/>
    <col min="12805" max="13056" width="11.44140625" style="1"/>
    <col min="13057" max="13060" width="21.5546875" style="1" customWidth="1"/>
    <col min="13061" max="13312" width="11.44140625" style="1"/>
    <col min="13313" max="13316" width="21.5546875" style="1" customWidth="1"/>
    <col min="13317" max="13568" width="11.44140625" style="1"/>
    <col min="13569" max="13572" width="21.5546875" style="1" customWidth="1"/>
    <col min="13573" max="13824" width="11.44140625" style="1"/>
    <col min="13825" max="13828" width="21.5546875" style="1" customWidth="1"/>
    <col min="13829" max="14080" width="11.44140625" style="1"/>
    <col min="14081" max="14084" width="21.5546875" style="1" customWidth="1"/>
    <col min="14085" max="14336" width="11.44140625" style="1"/>
    <col min="14337" max="14340" width="21.5546875" style="1" customWidth="1"/>
    <col min="14341" max="14592" width="11.44140625" style="1"/>
    <col min="14593" max="14596" width="21.5546875" style="1" customWidth="1"/>
    <col min="14597" max="14848" width="11.44140625" style="1"/>
    <col min="14849" max="14852" width="21.5546875" style="1" customWidth="1"/>
    <col min="14853" max="15104" width="11.44140625" style="1"/>
    <col min="15105" max="15108" width="21.5546875" style="1" customWidth="1"/>
    <col min="15109" max="15360" width="11.44140625" style="1"/>
    <col min="15361" max="15364" width="21.5546875" style="1" customWidth="1"/>
    <col min="15365" max="15616" width="11.44140625" style="1"/>
    <col min="15617" max="15620" width="21.5546875" style="1" customWidth="1"/>
    <col min="15621" max="15872" width="11.44140625" style="1"/>
    <col min="15873" max="15876" width="21.5546875" style="1" customWidth="1"/>
    <col min="15877" max="16128" width="11.44140625" style="1"/>
    <col min="16129" max="16132" width="21.5546875" style="1" customWidth="1"/>
    <col min="16133" max="16384" width="11.44140625" style="1"/>
  </cols>
  <sheetData>
    <row r="1" spans="1:8" ht="25.5" customHeight="1" x14ac:dyDescent="0.3">
      <c r="A1" s="326"/>
      <c r="B1" s="326"/>
      <c r="C1" s="327" t="s">
        <v>237</v>
      </c>
      <c r="D1" s="327"/>
      <c r="E1" s="327"/>
      <c r="F1" s="327"/>
      <c r="G1" s="327"/>
      <c r="H1" s="327"/>
    </row>
    <row r="2" spans="1:8" ht="25.5" customHeight="1" x14ac:dyDescent="0.3">
      <c r="A2" s="326"/>
      <c r="B2" s="326"/>
      <c r="C2" s="327"/>
      <c r="D2" s="327"/>
      <c r="E2" s="327"/>
      <c r="F2" s="327"/>
      <c r="G2" s="327"/>
      <c r="H2" s="327"/>
    </row>
    <row r="3" spans="1:8" ht="24" customHeight="1" x14ac:dyDescent="0.3">
      <c r="A3" s="326"/>
      <c r="B3" s="326"/>
      <c r="C3" s="2" t="s">
        <v>238</v>
      </c>
      <c r="D3" s="3" t="s">
        <v>239</v>
      </c>
      <c r="E3" s="2" t="s">
        <v>240</v>
      </c>
      <c r="F3" s="4" t="s">
        <v>266</v>
      </c>
      <c r="G3" s="5" t="s">
        <v>4</v>
      </c>
      <c r="H3" s="6">
        <v>46007</v>
      </c>
    </row>
    <row r="4" spans="1:8" ht="19.8" x14ac:dyDescent="0.3">
      <c r="A4" s="7"/>
    </row>
    <row r="5" spans="1:8" ht="19.8" x14ac:dyDescent="0.3">
      <c r="A5" s="328" t="s">
        <v>241</v>
      </c>
      <c r="B5" s="328"/>
      <c r="C5" s="328"/>
      <c r="D5" s="328"/>
      <c r="E5" s="328"/>
      <c r="F5" s="328"/>
      <c r="G5" s="328"/>
      <c r="H5" s="328"/>
    </row>
    <row r="6" spans="1:8" ht="20.399999999999999" thickBot="1" x14ac:dyDescent="0.35">
      <c r="A6" s="8"/>
    </row>
    <row r="7" spans="1:8" ht="15.6" thickTop="1" thickBot="1" x14ac:dyDescent="0.35">
      <c r="A7" s="9" t="s">
        <v>4</v>
      </c>
      <c r="B7" s="10" t="s">
        <v>3</v>
      </c>
      <c r="C7" s="329" t="s">
        <v>242</v>
      </c>
      <c r="D7" s="330"/>
      <c r="E7" s="330"/>
      <c r="F7" s="330"/>
      <c r="G7" s="330" t="s">
        <v>243</v>
      </c>
      <c r="H7" s="330"/>
    </row>
    <row r="8" spans="1:8" ht="35.25" customHeight="1" thickTop="1" thickBot="1" x14ac:dyDescent="0.35">
      <c r="A8" s="11">
        <v>45364</v>
      </c>
      <c r="B8" s="64">
        <v>1</v>
      </c>
      <c r="C8" s="321" t="s">
        <v>244</v>
      </c>
      <c r="D8" s="322"/>
      <c r="E8" s="322"/>
      <c r="F8" s="323"/>
      <c r="G8" s="324" t="s">
        <v>245</v>
      </c>
      <c r="H8" s="325"/>
    </row>
    <row r="9" spans="1:8" ht="30" customHeight="1" thickBot="1" x14ac:dyDescent="0.35">
      <c r="A9" s="11">
        <v>45454</v>
      </c>
      <c r="B9" s="64">
        <v>2</v>
      </c>
      <c r="C9" s="321" t="s">
        <v>246</v>
      </c>
      <c r="D9" s="322"/>
      <c r="E9" s="322"/>
      <c r="F9" s="323"/>
      <c r="G9" s="324" t="s">
        <v>247</v>
      </c>
      <c r="H9" s="325"/>
    </row>
    <row r="10" spans="1:8" ht="38.1" customHeight="1" thickBot="1" x14ac:dyDescent="0.35">
      <c r="A10" s="11">
        <v>45639</v>
      </c>
      <c r="B10" s="64">
        <v>3</v>
      </c>
      <c r="C10" s="321" t="s">
        <v>248</v>
      </c>
      <c r="D10" s="322"/>
      <c r="E10" s="322"/>
      <c r="F10" s="323"/>
      <c r="G10" s="324" t="s">
        <v>247</v>
      </c>
      <c r="H10" s="325"/>
    </row>
    <row r="11" spans="1:8" ht="35.4" customHeight="1" thickBot="1" x14ac:dyDescent="0.35">
      <c r="A11" s="11">
        <v>45705</v>
      </c>
      <c r="B11" s="64">
        <v>4</v>
      </c>
      <c r="C11" s="321" t="s">
        <v>249</v>
      </c>
      <c r="D11" s="322"/>
      <c r="E11" s="322"/>
      <c r="F11" s="323"/>
      <c r="G11" s="324" t="s">
        <v>245</v>
      </c>
      <c r="H11" s="325"/>
    </row>
    <row r="12" spans="1:8" ht="35.4" customHeight="1" thickBot="1" x14ac:dyDescent="0.35">
      <c r="A12" s="11">
        <v>45728</v>
      </c>
      <c r="B12" s="64">
        <v>5</v>
      </c>
      <c r="C12" s="321" t="s">
        <v>250</v>
      </c>
      <c r="D12" s="322"/>
      <c r="E12" s="322"/>
      <c r="F12" s="323"/>
      <c r="G12" s="324" t="s">
        <v>245</v>
      </c>
      <c r="H12" s="325"/>
    </row>
    <row r="13" spans="1:8" ht="58.5" customHeight="1" thickBot="1" x14ac:dyDescent="0.35">
      <c r="A13" s="11">
        <v>45777</v>
      </c>
      <c r="B13" s="64">
        <v>6</v>
      </c>
      <c r="C13" s="321" t="s">
        <v>251</v>
      </c>
      <c r="D13" s="322"/>
      <c r="E13" s="322"/>
      <c r="F13" s="323"/>
      <c r="G13" s="324" t="s">
        <v>245</v>
      </c>
      <c r="H13" s="325"/>
    </row>
    <row r="14" spans="1:8" ht="51.6" customHeight="1" thickBot="1" x14ac:dyDescent="0.35">
      <c r="A14" s="11">
        <v>45891</v>
      </c>
      <c r="B14" s="64">
        <v>7</v>
      </c>
      <c r="C14" s="334" t="s">
        <v>252</v>
      </c>
      <c r="D14" s="335"/>
      <c r="E14" s="335"/>
      <c r="F14" s="336"/>
      <c r="G14" s="324" t="s">
        <v>245</v>
      </c>
      <c r="H14" s="325"/>
    </row>
    <row r="15" spans="1:8" ht="51.6" customHeight="1" thickBot="1" x14ac:dyDescent="0.35">
      <c r="A15" s="11">
        <v>45917</v>
      </c>
      <c r="B15" s="64">
        <v>8</v>
      </c>
      <c r="C15" s="334" t="s">
        <v>253</v>
      </c>
      <c r="D15" s="335"/>
      <c r="E15" s="335"/>
      <c r="F15" s="336"/>
      <c r="G15" s="324" t="s">
        <v>245</v>
      </c>
      <c r="H15" s="325"/>
    </row>
    <row r="16" spans="1:8" ht="43.2" customHeight="1" thickBot="1" x14ac:dyDescent="0.35">
      <c r="A16" s="11">
        <v>46007</v>
      </c>
      <c r="B16" s="64">
        <v>9</v>
      </c>
      <c r="C16" s="334" t="s">
        <v>268</v>
      </c>
      <c r="D16" s="335"/>
      <c r="E16" s="335"/>
      <c r="F16" s="336"/>
      <c r="G16" s="324" t="s">
        <v>267</v>
      </c>
      <c r="H16" s="325"/>
    </row>
    <row r="17" spans="1:8" x14ac:dyDescent="0.3">
      <c r="A17" s="12"/>
    </row>
    <row r="18" spans="1:8" x14ac:dyDescent="0.3">
      <c r="A18" s="12"/>
    </row>
    <row r="19" spans="1:8" ht="17.25" customHeight="1" thickBot="1" x14ac:dyDescent="0.35">
      <c r="A19" s="337" t="s">
        <v>254</v>
      </c>
      <c r="B19" s="338"/>
      <c r="C19" s="338"/>
      <c r="D19" s="338"/>
      <c r="E19" s="338"/>
      <c r="F19" s="338"/>
      <c r="G19" s="338"/>
      <c r="H19" s="338"/>
    </row>
    <row r="20" spans="1:8" ht="16.5" customHeight="1" thickTop="1" thickBot="1" x14ac:dyDescent="0.35">
      <c r="A20" s="339" t="s">
        <v>255</v>
      </c>
      <c r="B20" s="340"/>
      <c r="C20" s="341" t="s">
        <v>256</v>
      </c>
      <c r="D20" s="342"/>
      <c r="E20" s="341" t="s">
        <v>257</v>
      </c>
      <c r="F20" s="342"/>
      <c r="G20" s="342"/>
      <c r="H20" s="342"/>
    </row>
    <row r="21" spans="1:8" ht="54" customHeight="1" thickTop="1" thickBot="1" x14ac:dyDescent="0.35">
      <c r="A21" s="343"/>
      <c r="B21" s="344"/>
      <c r="C21" s="345"/>
      <c r="D21" s="346"/>
      <c r="E21" s="347"/>
      <c r="F21" s="348"/>
      <c r="G21" s="348"/>
      <c r="H21" s="349"/>
    </row>
    <row r="22" spans="1:8" ht="19.5" customHeight="1" thickTop="1" thickBot="1" x14ac:dyDescent="0.35">
      <c r="A22" s="175" t="s">
        <v>258</v>
      </c>
      <c r="B22" s="176" t="s">
        <v>259</v>
      </c>
      <c r="C22" s="176" t="s">
        <v>258</v>
      </c>
      <c r="D22" s="176" t="s">
        <v>260</v>
      </c>
      <c r="E22" s="177" t="s">
        <v>258</v>
      </c>
      <c r="F22" s="350" t="s">
        <v>261</v>
      </c>
      <c r="G22" s="351"/>
      <c r="H22" s="352"/>
    </row>
    <row r="23" spans="1:8" ht="15" thickBot="1" x14ac:dyDescent="0.35">
      <c r="A23" s="175" t="s">
        <v>262</v>
      </c>
      <c r="B23" s="176" t="s">
        <v>263</v>
      </c>
      <c r="C23" s="176" t="s">
        <v>262</v>
      </c>
      <c r="D23" s="176" t="s">
        <v>263</v>
      </c>
      <c r="E23" s="177" t="s">
        <v>262</v>
      </c>
      <c r="F23" s="350" t="s">
        <v>264</v>
      </c>
      <c r="G23" s="351"/>
      <c r="H23" s="352"/>
    </row>
    <row r="24" spans="1:8" x14ac:dyDescent="0.3">
      <c r="A24" s="178" t="s">
        <v>265</v>
      </c>
      <c r="B24" s="179">
        <v>46007</v>
      </c>
      <c r="C24" s="180" t="s">
        <v>265</v>
      </c>
      <c r="D24" s="179">
        <v>46007</v>
      </c>
      <c r="E24" s="181" t="s">
        <v>265</v>
      </c>
      <c r="F24" s="331">
        <v>46007</v>
      </c>
      <c r="G24" s="332"/>
      <c r="H24" s="333"/>
    </row>
    <row r="25" spans="1:8" ht="15" thickTop="1" x14ac:dyDescent="0.3"/>
    <row r="31" spans="1:8" x14ac:dyDescent="0.3">
      <c r="C31" s="13"/>
    </row>
  </sheetData>
  <mergeCells count="33">
    <mergeCell ref="F24:H24"/>
    <mergeCell ref="C14:F14"/>
    <mergeCell ref="G14:H14"/>
    <mergeCell ref="A19:H19"/>
    <mergeCell ref="A20:B20"/>
    <mergeCell ref="C20:D20"/>
    <mergeCell ref="E20:H20"/>
    <mergeCell ref="A21:B21"/>
    <mergeCell ref="C21:D21"/>
    <mergeCell ref="E21:H21"/>
    <mergeCell ref="F22:H22"/>
    <mergeCell ref="F23:H23"/>
    <mergeCell ref="C15:F15"/>
    <mergeCell ref="G15:H15"/>
    <mergeCell ref="C16:F16"/>
    <mergeCell ref="G16:H16"/>
    <mergeCell ref="C8:F8"/>
    <mergeCell ref="G8:H8"/>
    <mergeCell ref="A1:B3"/>
    <mergeCell ref="C1:H2"/>
    <mergeCell ref="A5:H5"/>
    <mergeCell ref="C7:F7"/>
    <mergeCell ref="G7:H7"/>
    <mergeCell ref="C13:F13"/>
    <mergeCell ref="G13:H13"/>
    <mergeCell ref="C9:F9"/>
    <mergeCell ref="G9:H9"/>
    <mergeCell ref="C10:F10"/>
    <mergeCell ref="G10:H10"/>
    <mergeCell ref="C11:F11"/>
    <mergeCell ref="G11:H11"/>
    <mergeCell ref="G12:H12"/>
    <mergeCell ref="C12:F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CALIBRACIÓN PSV</vt:lpstr>
      <vt:lpstr>DATOS INCERTIDUMBRE</vt:lpstr>
      <vt:lpstr>CÁLCULO INCERTIDUMBRE</vt:lpstr>
      <vt:lpstr>CONTROL DE CAMBIOS</vt:lpstr>
      <vt:lpstr>'CALIBRACIÓN PSV'!Área_de_impresión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Administracion</dc:creator>
  <cp:keywords/>
  <dc:description/>
  <cp:lastModifiedBy>Comercial</cp:lastModifiedBy>
  <cp:revision/>
  <dcterms:created xsi:type="dcterms:W3CDTF">2021-12-16T21:43:39Z</dcterms:created>
  <dcterms:modified xsi:type="dcterms:W3CDTF">2026-01-08T12:12:38Z</dcterms:modified>
  <cp:category/>
  <cp:contentStatus/>
</cp:coreProperties>
</file>
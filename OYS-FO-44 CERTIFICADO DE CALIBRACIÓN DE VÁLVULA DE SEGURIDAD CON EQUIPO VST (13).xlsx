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D:\Users\Comercial VALSER\Downloads\"/>
    </mc:Choice>
  </mc:AlternateContent>
  <xr:revisionPtr revIDLastSave="0" documentId="13_ncr:1_{C5D7954F-AED0-4598-814F-3AED7C6D5BB7}" xr6:coauthVersionLast="47" xr6:coauthVersionMax="47" xr10:uidLastSave="{00000000-0000-0000-0000-000000000000}"/>
  <bookViews>
    <workbookView xWindow="-108" yWindow="-108" windowWidth="23256" windowHeight="12576" tabRatio="724" xr2:uid="{C86926FB-B6EF-499F-A904-9F08FF8D2E0E}"/>
  </bookViews>
  <sheets>
    <sheet name="CERTIFICADO" sheetId="23" r:id="rId1"/>
    <sheet name="DATOS INCERTIDUMBRE" sheetId="24" r:id="rId2"/>
    <sheet name="CÁLCULO INCERTIDUMBRE" sheetId="22" r:id="rId3"/>
    <sheet name="CONTROL DE CAMBIOS" sheetId="20" r:id="rId4"/>
  </sheets>
  <definedNames>
    <definedName name="_xlnm.Print_Area" localSheetId="0">CERTIFICADO!$B$1:$O$74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1" i="24" l="1"/>
  <c r="D31" i="23" l="1"/>
  <c r="G29" i="23"/>
  <c r="E29" i="23"/>
  <c r="D29" i="23"/>
  <c r="G2" i="22"/>
  <c r="N30" i="23"/>
  <c r="L30" i="23"/>
  <c r="K30" i="23"/>
  <c r="H30" i="23"/>
  <c r="G30" i="23"/>
  <c r="E30" i="23"/>
  <c r="D30" i="23"/>
  <c r="C17" i="24" l="1"/>
  <c r="C19" i="24"/>
  <c r="B64" i="23"/>
  <c r="R53" i="23"/>
  <c r="G3" i="22"/>
  <c r="N29" i="23"/>
  <c r="L29" i="23"/>
  <c r="K29" i="23"/>
  <c r="H29" i="23"/>
  <c r="R54" i="23"/>
  <c r="N41" i="23"/>
  <c r="N32" i="23" l="1"/>
  <c r="N31" i="23"/>
  <c r="L32" i="23"/>
  <c r="L31" i="23"/>
  <c r="K31" i="23"/>
  <c r="K32" i="23"/>
  <c r="H32" i="23"/>
  <c r="H31" i="23"/>
  <c r="G31" i="23"/>
  <c r="E31" i="23"/>
  <c r="D33" i="23"/>
  <c r="F48" i="23" l="1"/>
  <c r="F83" i="22" l="1"/>
  <c r="D83" i="22"/>
  <c r="F82" i="22"/>
  <c r="D82" i="22"/>
  <c r="F81" i="22"/>
  <c r="D81" i="22"/>
  <c r="F80" i="22"/>
  <c r="D80" i="22"/>
  <c r="F79" i="22"/>
  <c r="D79" i="22"/>
  <c r="F78" i="22"/>
  <c r="D78" i="22"/>
  <c r="L19" i="22"/>
  <c r="L18" i="22"/>
  <c r="L17" i="22"/>
  <c r="H19" i="22" l="1"/>
  <c r="H20" i="22"/>
  <c r="H21" i="22"/>
  <c r="H22" i="22"/>
  <c r="H23" i="22"/>
  <c r="H18" i="22"/>
  <c r="G51" i="22"/>
  <c r="F51" i="22"/>
  <c r="E63" i="22" s="1"/>
  <c r="E51" i="22"/>
  <c r="D51" i="22"/>
  <c r="C57" i="22"/>
  <c r="F18" i="22"/>
  <c r="F19" i="22"/>
  <c r="F20" i="22"/>
  <c r="F21" i="22"/>
  <c r="F22" i="22"/>
  <c r="F23" i="22"/>
  <c r="D19" i="22"/>
  <c r="D20" i="22"/>
  <c r="D21" i="22"/>
  <c r="D22" i="22"/>
  <c r="D23" i="22"/>
  <c r="D18" i="22"/>
  <c r="C20" i="22"/>
  <c r="C19" i="22"/>
  <c r="C18" i="22"/>
  <c r="H33" i="23"/>
  <c r="C24" i="22" l="1"/>
  <c r="C3" i="22" s="1"/>
  <c r="L33" i="23"/>
  <c r="N33" i="23"/>
  <c r="K33" i="23"/>
  <c r="E33" i="23"/>
  <c r="G33" i="23"/>
  <c r="D34" i="23"/>
  <c r="N34" i="23"/>
  <c r="L34" i="23"/>
  <c r="K34" i="23"/>
  <c r="H34" i="23"/>
  <c r="E34" i="23"/>
  <c r="G34" i="23"/>
  <c r="F107" i="22" l="1"/>
  <c r="L24" i="22"/>
  <c r="C54" i="22" s="1"/>
  <c r="L23" i="22"/>
  <c r="L22" i="22"/>
  <c r="Q110" i="22" l="1"/>
  <c r="Q109" i="22"/>
  <c r="Q108" i="22"/>
  <c r="Q107" i="22"/>
  <c r="H107" i="22"/>
  <c r="E107" i="22"/>
  <c r="D107" i="22"/>
  <c r="Q106" i="22"/>
  <c r="Q105" i="22"/>
  <c r="H105" i="22"/>
  <c r="F105" i="22"/>
  <c r="E105" i="22"/>
  <c r="D105" i="22"/>
  <c r="Q104" i="22"/>
  <c r="H104" i="22"/>
  <c r="F104" i="22"/>
  <c r="E104" i="22"/>
  <c r="D104" i="22"/>
  <c r="G101" i="22"/>
  <c r="G107" i="22" s="1"/>
  <c r="G100" i="22"/>
  <c r="G105" i="22" s="1"/>
  <c r="G99" i="22"/>
  <c r="G104" i="22" s="1"/>
  <c r="F63" i="22"/>
  <c r="D63" i="22"/>
  <c r="C63" i="22"/>
  <c r="G62" i="22"/>
  <c r="I62" i="22" s="1"/>
  <c r="H61" i="22"/>
  <c r="H60" i="22"/>
  <c r="Q58" i="22"/>
  <c r="O58" i="22"/>
  <c r="N58" i="22"/>
  <c r="M58" i="22"/>
  <c r="L58" i="22"/>
  <c r="Q57" i="22"/>
  <c r="O57" i="22"/>
  <c r="N57" i="22"/>
  <c r="M57" i="22"/>
  <c r="L57" i="22"/>
  <c r="Q56" i="22"/>
  <c r="O56" i="22"/>
  <c r="N56" i="22"/>
  <c r="M56" i="22"/>
  <c r="L56" i="22"/>
  <c r="C55" i="22"/>
  <c r="G60" i="22"/>
  <c r="G38" i="22"/>
  <c r="F38" i="22"/>
  <c r="E38" i="22"/>
  <c r="D38" i="22"/>
  <c r="G37" i="22"/>
  <c r="F37" i="22"/>
  <c r="E37" i="22"/>
  <c r="D37" i="22"/>
  <c r="G36" i="22"/>
  <c r="F36" i="22"/>
  <c r="E36" i="22"/>
  <c r="D36" i="22"/>
  <c r="G35" i="22"/>
  <c r="F35" i="22"/>
  <c r="E35" i="22"/>
  <c r="D35" i="22"/>
  <c r="G34" i="22"/>
  <c r="F34" i="22"/>
  <c r="E34" i="22"/>
  <c r="D34" i="22"/>
  <c r="I24" i="22"/>
  <c r="H24" i="22"/>
  <c r="F24" i="22"/>
  <c r="D24" i="23" s="1"/>
  <c r="D24" i="22"/>
  <c r="G24" i="23" s="1"/>
  <c r="G23" i="22"/>
  <c r="E23" i="22"/>
  <c r="G22" i="22"/>
  <c r="E22" i="22"/>
  <c r="G21" i="22"/>
  <c r="E21" i="22"/>
  <c r="G20" i="22"/>
  <c r="E20" i="22"/>
  <c r="G19" i="22"/>
  <c r="E19" i="22"/>
  <c r="G18" i="22"/>
  <c r="E18" i="22"/>
  <c r="D14" i="22"/>
  <c r="D13" i="22"/>
  <c r="H63" i="22" l="1"/>
  <c r="H37" i="22"/>
  <c r="D44" i="22" s="1"/>
  <c r="E44" i="22" s="1"/>
  <c r="G24" i="22"/>
  <c r="P57" i="22"/>
  <c r="R57" i="22" s="1"/>
  <c r="E24" i="22"/>
  <c r="H38" i="22"/>
  <c r="D45" i="22" s="1"/>
  <c r="E45" i="22" s="1"/>
  <c r="I104" i="22"/>
  <c r="L104" i="22" s="1"/>
  <c r="P56" i="22"/>
  <c r="R56" i="22" s="1"/>
  <c r="H35" i="22"/>
  <c r="D42" i="22" s="1"/>
  <c r="E42" i="22" s="1"/>
  <c r="P58" i="22"/>
  <c r="R58" i="22" s="1"/>
  <c r="P112" i="22"/>
  <c r="H36" i="22"/>
  <c r="D43" i="22" s="1"/>
  <c r="E43" i="22" s="1"/>
  <c r="H34" i="22"/>
  <c r="D41" i="22" s="1"/>
  <c r="E41" i="22" s="1"/>
  <c r="G63" i="22"/>
  <c r="I63" i="22" s="1"/>
  <c r="H62" i="22"/>
  <c r="I105" i="22"/>
  <c r="L105" i="22" s="1"/>
  <c r="J107" i="22"/>
  <c r="L107" i="22" s="1"/>
  <c r="K104" i="22"/>
  <c r="K105" i="22"/>
  <c r="J106" i="22"/>
  <c r="I60" i="22"/>
  <c r="B110" i="22" l="1"/>
  <c r="B96" i="22" s="1"/>
  <c r="E89" i="22" s="1"/>
  <c r="K106" i="22"/>
  <c r="J105" i="22"/>
  <c r="K61" i="22"/>
  <c r="L61" i="22" s="1"/>
  <c r="I61" i="22" s="1"/>
  <c r="J104" i="22"/>
  <c r="K107" i="22"/>
  <c r="G61" i="22" l="1"/>
  <c r="B66" i="22" s="1"/>
  <c r="C66" i="22" s="1"/>
  <c r="C110" i="22"/>
  <c r="D110" i="22" s="1"/>
  <c r="E110" i="22"/>
  <c r="C96" i="22"/>
  <c r="C4" i="22" s="1"/>
  <c r="L24" i="23" l="1"/>
  <c r="D66" i="22"/>
  <c r="D96" i="22"/>
  <c r="E96" i="22" s="1"/>
  <c r="B48" i="22"/>
  <c r="C48" i="22" l="1"/>
  <c r="E13" i="22" s="1"/>
  <c r="C13" i="22"/>
  <c r="P5" i="24" l="1"/>
  <c r="P6" i="24"/>
  <c r="P7" i="24"/>
  <c r="P8" i="24"/>
  <c r="P4" i="24"/>
  <c r="O5" i="24"/>
  <c r="O6" i="24"/>
  <c r="O7" i="24"/>
  <c r="O8" i="24"/>
  <c r="O4" i="24"/>
  <c r="D13" i="24" l="1"/>
  <c r="I13" i="22" s="1"/>
  <c r="D12" i="24"/>
  <c r="I12" i="22" s="1"/>
  <c r="M5" i="24" l="1"/>
  <c r="I11" i="22"/>
  <c r="J49" i="23"/>
  <c r="J48" i="23"/>
  <c r="J47" i="23"/>
  <c r="F49" i="23"/>
  <c r="F47" i="23"/>
  <c r="J11" i="22" l="1"/>
  <c r="J13" i="22" s="1"/>
  <c r="I14" i="22"/>
  <c r="C2" i="22" s="1"/>
  <c r="C5" i="22" s="1"/>
  <c r="C86" i="22" s="1"/>
  <c r="M7" i="24"/>
  <c r="M6" i="24"/>
  <c r="D86" i="22" l="1"/>
  <c r="G74" i="22" s="1"/>
  <c r="B86" i="22"/>
  <c r="D17" i="24"/>
  <c r="D54" i="23" s="1"/>
  <c r="T53" i="23" s="1"/>
  <c r="G69" i="22" l="1"/>
  <c r="E69" i="22" s="1"/>
  <c r="E78" i="22" s="1"/>
  <c r="F96" i="22"/>
  <c r="G73" i="22"/>
  <c r="G70" i="22"/>
  <c r="G71" i="22"/>
  <c r="G72" i="22"/>
  <c r="I54" i="23"/>
  <c r="C58" i="23"/>
  <c r="K42" i="23"/>
  <c r="G78" i="22" l="1"/>
  <c r="H78" i="22" s="1"/>
  <c r="E71" i="22"/>
  <c r="E80" i="22" s="1"/>
  <c r="G80" i="22"/>
  <c r="G79" i="22"/>
  <c r="E70" i="22"/>
  <c r="E79" i="22" s="1"/>
  <c r="G82" i="22"/>
  <c r="E73" i="22"/>
  <c r="E82" i="22" s="1"/>
  <c r="G81" i="22"/>
  <c r="E72" i="22"/>
  <c r="E81" i="22" s="1"/>
  <c r="E74" i="22"/>
  <c r="E83" i="22" s="1"/>
  <c r="G83" i="22"/>
  <c r="H81" i="22" l="1"/>
  <c r="I81" i="22" s="1"/>
  <c r="I78" i="22"/>
  <c r="H79" i="22"/>
  <c r="I79" i="22" s="1"/>
  <c r="H83" i="22"/>
  <c r="I83" i="22" s="1"/>
  <c r="H82" i="22"/>
  <c r="I82" i="22" s="1"/>
  <c r="H80" i="22"/>
  <c r="I80" i="22" s="1"/>
  <c r="B89" i="22" l="1"/>
  <c r="B92" i="22" s="1"/>
  <c r="D89" i="22"/>
  <c r="C89" i="22" l="1"/>
  <c r="D92" i="22"/>
  <c r="E14" i="22" s="1"/>
  <c r="C92" i="22"/>
  <c r="C14" i="22" s="1"/>
  <c r="C12" i="22" s="1"/>
  <c r="E12" i="22" l="1"/>
  <c r="B8" i="22" l="1"/>
  <c r="R56" i="23" s="1"/>
  <c r="C56" i="23" s="1"/>
  <c r="C8" i="22" l="1"/>
  <c r="G54" i="23" s="1"/>
  <c r="K54" i="23" l="1"/>
  <c r="N7" i="24"/>
  <c r="N5" i="24"/>
  <c r="N6"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Comercial</author>
  </authors>
  <commentList>
    <comment ref="H2" authorId="0" shapeId="0" xr:uid="{1C1FC571-2B8B-4D7A-BD3C-BD24DB4E6BE4}">
      <text>
        <r>
          <rPr>
            <b/>
            <sz val="9"/>
            <color indexed="81"/>
            <rFont val="Tahoma"/>
            <family val="2"/>
          </rPr>
          <t>Comercial:</t>
        </r>
        <r>
          <rPr>
            <sz val="9"/>
            <color indexed="81"/>
            <rFont val="Tahoma"/>
            <family val="2"/>
          </rPr>
          <t xml:space="preserve">
Datos dados por el cliente</t>
        </r>
      </text>
    </comment>
    <comment ref="I5" authorId="0" shapeId="0" xr:uid="{990CB7BA-A297-426D-8576-B605DC72F34E}">
      <text>
        <r>
          <rPr>
            <b/>
            <sz val="9"/>
            <color indexed="81"/>
            <rFont val="Tahoma"/>
            <family val="2"/>
          </rPr>
          <t>Comercial:</t>
        </r>
        <r>
          <rPr>
            <sz val="9"/>
            <color indexed="81"/>
            <rFont val="Tahoma"/>
            <family val="2"/>
          </rPr>
          <t xml:space="preserve">
Valor sacado de las tablas de vapor de termodinamica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Comercial</author>
  </authors>
  <commentList>
    <comment ref="H8" authorId="0" shapeId="0" xr:uid="{9C82049F-5F87-41E4-97F5-33BAAA5D2421}">
      <text>
        <r>
          <rPr>
            <b/>
            <sz val="9"/>
            <color indexed="81"/>
            <rFont val="Tahoma"/>
            <family val="2"/>
          </rPr>
          <t>Comercial:</t>
        </r>
        <r>
          <rPr>
            <sz val="9"/>
            <color indexed="81"/>
            <rFont val="Tahoma"/>
            <family val="2"/>
          </rPr>
          <t xml:space="preserve">
Incertidumbre por repetibiilidad de las presiones de apertura, donde se combina la fuerza y la presión del transmisor</t>
        </r>
      </text>
    </comment>
    <comment ref="K21" authorId="0" shapeId="0" xr:uid="{8EEBA3AF-3EDA-48B2-A853-60EE62EB06BE}">
      <text>
        <r>
          <rPr>
            <b/>
            <sz val="9"/>
            <color indexed="81"/>
            <rFont val="Tahoma"/>
            <family val="2"/>
          </rPr>
          <t>Comercial:</t>
        </r>
        <r>
          <rPr>
            <sz val="9"/>
            <color indexed="81"/>
            <rFont val="Tahoma"/>
            <family val="2"/>
          </rPr>
          <t xml:space="preserve">
Datos dados por el cliente
</t>
        </r>
      </text>
    </comment>
    <comment ref="K24" authorId="0" shapeId="0" xr:uid="{0B4F0C0A-B202-4696-A009-7B9A81C1D33A}">
      <text>
        <r>
          <rPr>
            <b/>
            <sz val="9"/>
            <color indexed="81"/>
            <rFont val="Tahoma"/>
            <family val="2"/>
          </rPr>
          <t>Comercial:</t>
        </r>
        <r>
          <rPr>
            <sz val="9"/>
            <color indexed="81"/>
            <rFont val="Tahoma"/>
            <family val="2"/>
          </rPr>
          <t xml:space="preserve">
Con la presión y temperatura del vapor, se busca el volumen especifico</t>
        </r>
      </text>
    </comment>
    <comment ref="O52" authorId="0" shapeId="0" xr:uid="{3CDEC533-A05B-438F-B46F-BC3102765C62}">
      <text>
        <r>
          <rPr>
            <b/>
            <sz val="9"/>
            <color indexed="81"/>
            <rFont val="Tahoma"/>
            <family val="2"/>
          </rPr>
          <t>Comercial:</t>
        </r>
        <r>
          <rPr>
            <sz val="9"/>
            <color indexed="81"/>
            <rFont val="Tahoma"/>
            <family val="2"/>
          </rPr>
          <t xml:space="preserve">
Incertidumbre por error no corregido</t>
        </r>
      </text>
    </comment>
    <comment ref="O53" authorId="0" shapeId="0" xr:uid="{BEA24366-4742-4DAD-9181-DACA0DBA8087}">
      <text>
        <r>
          <rPr>
            <b/>
            <sz val="9"/>
            <color indexed="81"/>
            <rFont val="Tahoma"/>
            <family val="2"/>
          </rPr>
          <t>Comercial:</t>
        </r>
        <r>
          <rPr>
            <sz val="9"/>
            <color indexed="81"/>
            <rFont val="Tahoma"/>
            <family val="2"/>
          </rPr>
          <t xml:space="preserve">
Por error NO corregido</t>
        </r>
      </text>
    </comment>
    <comment ref="K56" authorId="0" shapeId="0" xr:uid="{9FF2EEF4-30C6-4779-B393-E77CAF32402D}">
      <text>
        <r>
          <rPr>
            <b/>
            <sz val="9"/>
            <color indexed="81"/>
            <rFont val="Tahoma"/>
            <family val="2"/>
          </rPr>
          <t>Comercial:</t>
        </r>
        <r>
          <rPr>
            <sz val="9"/>
            <color indexed="81"/>
            <rFont val="Tahoma"/>
            <family val="2"/>
          </rPr>
          <t xml:space="preserve">
La presión, temperatura y humedad, completan la incertidumbre por densidad del aire</t>
        </r>
      </text>
    </comment>
    <comment ref="B61" authorId="0" shapeId="0" xr:uid="{4570D142-1EAB-45DB-B099-FE5A3D2FA8A4}">
      <text>
        <r>
          <rPr>
            <b/>
            <sz val="9"/>
            <color indexed="81"/>
            <rFont val="Tahoma"/>
            <family val="2"/>
          </rPr>
          <t>Comercial:</t>
        </r>
        <r>
          <rPr>
            <sz val="9"/>
            <color indexed="81"/>
            <rFont val="Tahoma"/>
            <family val="2"/>
          </rPr>
          <t xml:space="preserve">
La presión, temperatura y humedad, completan la incertidumbre por densidad del aire</t>
        </r>
      </text>
    </comment>
  </commentList>
</comments>
</file>

<file path=xl/sharedStrings.xml><?xml version="1.0" encoding="utf-8"?>
<sst xmlns="http://schemas.openxmlformats.org/spreadsheetml/2006/main" count="621" uniqueCount="424">
  <si>
    <t xml:space="preserve">CERTIFICADO DE CALIBRACIÓN EN LÍNEA DE
VÁLVULA DE SEGURIDAD CON EQUIPO VST </t>
  </si>
  <si>
    <t>CÓDIGO</t>
  </si>
  <si>
    <t>OYS-FO-44</t>
  </si>
  <si>
    <t>VERSIÓN</t>
  </si>
  <si>
    <t>08</t>
  </si>
  <si>
    <t>FECHA</t>
  </si>
  <si>
    <t>SECCIÓN 1. INFORMACIÓN DEL LABORATORIO</t>
  </si>
  <si>
    <t>MÉTODO UTILIZADO:</t>
  </si>
  <si>
    <t>ASME PTC 25 - MÉTODO INDIRECTO</t>
  </si>
  <si>
    <t>FECHA DE RECEPCIÓN:</t>
  </si>
  <si>
    <t>LUGAR DE PRUEBA:</t>
  </si>
  <si>
    <t>FECHA DE CALIBRACIÓN:</t>
  </si>
  <si>
    <t>LABORATORIO VALSER</t>
  </si>
  <si>
    <t>INSTALACIONES DEL CLIENTE</t>
  </si>
  <si>
    <t>NÚMERO DE CERTIFICADO:</t>
  </si>
  <si>
    <t>CAL-</t>
  </si>
  <si>
    <t>FECHA DE EMISIÓN:</t>
  </si>
  <si>
    <t>SECCIÓN 2. INFORMACIÓN DEL CLIENTE</t>
  </si>
  <si>
    <r>
      <t>CLIENTE:</t>
    </r>
    <r>
      <rPr>
        <sz val="10"/>
        <rFont val="Calibri"/>
        <family val="2"/>
      </rPr>
      <t xml:space="preserve"> </t>
    </r>
  </si>
  <si>
    <t>CONTACTO:</t>
  </si>
  <si>
    <t>CORREO:</t>
  </si>
  <si>
    <t xml:space="preserve">SECCIÓN 3. INFORMACIÓN VÁLVULA DE SEGURIDAD </t>
  </si>
  <si>
    <t>LOCALIZACIÓN:</t>
  </si>
  <si>
    <t>TAG:</t>
  </si>
  <si>
    <t>Nº PRECINTO:</t>
  </si>
  <si>
    <t>MARCA:</t>
  </si>
  <si>
    <t>TAMAÑO:</t>
  </si>
  <si>
    <t>CONEXIÓN ENTxSAL:</t>
  </si>
  <si>
    <t>MODELO:</t>
  </si>
  <si>
    <t>Nº SERIE:</t>
  </si>
  <si>
    <t>PRESIÓN CALIBRACIÓN:</t>
  </si>
  <si>
    <t>psi</t>
  </si>
  <si>
    <t>CELDAS DE CARGA</t>
  </si>
  <si>
    <t>TRANSMISORES</t>
  </si>
  <si>
    <t>DIÁMETRO INTERNO:</t>
  </si>
  <si>
    <r>
      <rPr>
        <sz val="10"/>
        <rFont val="Calibri"/>
        <family val="2"/>
      </rPr>
      <t>mm</t>
    </r>
    <r>
      <rPr>
        <b/>
        <sz val="10"/>
        <rFont val="Calibri"/>
        <family val="2"/>
      </rPr>
      <t xml:space="preserve">      DIÁMETRO EXTERNO:</t>
    </r>
  </si>
  <si>
    <t>mm</t>
  </si>
  <si>
    <t>ÁREA EFECTIVA:</t>
  </si>
  <si>
    <t>in²</t>
  </si>
  <si>
    <t>EQUIPO</t>
  </si>
  <si>
    <t>MARCA</t>
  </si>
  <si>
    <t>MODELO</t>
  </si>
  <si>
    <t>SERIAL</t>
  </si>
  <si>
    <t>FECHA DE CALIBRACIÓN</t>
  </si>
  <si>
    <t>RANGO</t>
  </si>
  <si>
    <t>CERTIFICADO</t>
  </si>
  <si>
    <t>CERTIFICADOR</t>
  </si>
  <si>
    <t>SECCIÓN 4. PATRONES DE TRABAJO</t>
  </si>
  <si>
    <t>CEC-001</t>
  </si>
  <si>
    <t>TRUMAX</t>
  </si>
  <si>
    <t>SA-1Klb</t>
  </si>
  <si>
    <t>J181015117</t>
  </si>
  <si>
    <t>(0 a 950) lb-f</t>
  </si>
  <si>
    <t>SERVINTEGRAL</t>
  </si>
  <si>
    <t>TP-010</t>
  </si>
  <si>
    <t>RITHERM</t>
  </si>
  <si>
    <t>(0 a 1000) psi</t>
  </si>
  <si>
    <t>FLEXILATINA</t>
  </si>
  <si>
    <t>CEC-004</t>
  </si>
  <si>
    <t>BBG</t>
  </si>
  <si>
    <t>TSC</t>
  </si>
  <si>
    <t>(0 a 2200) lb-f</t>
  </si>
  <si>
    <t>TP-002</t>
  </si>
  <si>
    <t>APLISENS</t>
  </si>
  <si>
    <t>PCR-28</t>
  </si>
  <si>
    <t>(0 a 5000) psi</t>
  </si>
  <si>
    <t>CALIBRADO POR</t>
  </si>
  <si>
    <t>FECHA CALIBRACIÓN</t>
  </si>
  <si>
    <t>N° DE CERTIFICADO</t>
  </si>
  <si>
    <t>CELDA DE CARGA USADA</t>
  </si>
  <si>
    <t>CEC-005</t>
  </si>
  <si>
    <t>CEC-003</t>
  </si>
  <si>
    <t>SC-5Klb</t>
  </si>
  <si>
    <t>M190927007</t>
  </si>
  <si>
    <t>(0 a 5000) lb-f</t>
  </si>
  <si>
    <t>TP-004</t>
  </si>
  <si>
    <t>DANFOSS</t>
  </si>
  <si>
    <t>MBS3000</t>
  </si>
  <si>
    <t>(0 a 145) psi</t>
  </si>
  <si>
    <t>CELDA DE CARGA</t>
  </si>
  <si>
    <t>SC-2.5Klb</t>
  </si>
  <si>
    <t>(0 a 2500) lb-f</t>
  </si>
  <si>
    <t>TP-008</t>
  </si>
  <si>
    <t>051950519282</t>
  </si>
  <si>
    <t>(0 a 870) psi</t>
  </si>
  <si>
    <t>TRANSMISOR DE PRESIÓN</t>
  </si>
  <si>
    <t>CEC-006</t>
  </si>
  <si>
    <t>TEK</t>
  </si>
  <si>
    <t>516 2T</t>
  </si>
  <si>
    <t>(0 a 4400) lb-f</t>
  </si>
  <si>
    <t>TP-009</t>
  </si>
  <si>
    <t>(0 a 3625) psi</t>
  </si>
  <si>
    <t>TERMOHIGRÓMETRO</t>
  </si>
  <si>
    <t>TRANSMISOR USADO</t>
  </si>
  <si>
    <t>CEC-007</t>
  </si>
  <si>
    <t>SG-5T</t>
  </si>
  <si>
    <t>(0 a 9920) lb-f</t>
  </si>
  <si>
    <t>PIE DE REY</t>
  </si>
  <si>
    <t>TERMOHIGROMETRO</t>
  </si>
  <si>
    <t>CINTA MÉTRICA</t>
  </si>
  <si>
    <t>PIE DE REY USADO</t>
  </si>
  <si>
    <t>INSIZE</t>
  </si>
  <si>
    <t>TESTO</t>
  </si>
  <si>
    <t>39536692/0323</t>
  </si>
  <si>
    <t>(-20 a 60) °C / (0 a 100) %hr</t>
  </si>
  <si>
    <t>HR-4914-25 / TE-8606-25</t>
  </si>
  <si>
    <t>VALMET L&amp;M</t>
  </si>
  <si>
    <t>PDR-001</t>
  </si>
  <si>
    <t>1108-200</t>
  </si>
  <si>
    <t>(0 a 200) mm</t>
  </si>
  <si>
    <t>CD-10088</t>
  </si>
  <si>
    <t>METROTEST</t>
  </si>
  <si>
    <t>Nota: Las mediciones realizadas por VALSER S.A.S son trazables metrológicamente al SI a través de laboratorios de calibración acreditados por organismos de acreditación firmantes de acuerdos de reconocimiento mutuo</t>
  </si>
  <si>
    <t>(300 a 1200) hPa</t>
  </si>
  <si>
    <t xml:space="preserve"> MET-LP-CC 12662</t>
  </si>
  <si>
    <t>METROLABOR</t>
  </si>
  <si>
    <t>PDR-002</t>
  </si>
  <si>
    <t>MITUTOYO</t>
  </si>
  <si>
    <t>CD-6" CSX-B</t>
  </si>
  <si>
    <t>BH010822</t>
  </si>
  <si>
    <t>(0 a 150) mm</t>
  </si>
  <si>
    <t>CD-10089</t>
  </si>
  <si>
    <t>TERMOHIGROMETRO USADO</t>
  </si>
  <si>
    <t>KEX GERMANY</t>
  </si>
  <si>
    <t>SH-172</t>
  </si>
  <si>
    <t>(10 a 90) %hr</t>
  </si>
  <si>
    <t>HR-28703</t>
  </si>
  <si>
    <t>FYH</t>
  </si>
  <si>
    <t>(-50 a 70) °C</t>
  </si>
  <si>
    <t>TA-28702</t>
  </si>
  <si>
    <t>SECCIÓN 5. INFORMACIÓN DE FUNCIONAMIENTO</t>
  </si>
  <si>
    <t>FLEXÓMETRO</t>
  </si>
  <si>
    <t>SELLADO:</t>
  </si>
  <si>
    <t>NORMA APLICABLE:</t>
  </si>
  <si>
    <t>ERROR MÁXIMO:</t>
  </si>
  <si>
    <t>SÍ</t>
  </si>
  <si>
    <t>ASME I</t>
  </si>
  <si>
    <t>ASME VIII</t>
  </si>
  <si>
    <t>VAPOR</t>
  </si>
  <si>
    <t>FLX-001</t>
  </si>
  <si>
    <t>TRUPER</t>
  </si>
  <si>
    <t>FH-5M</t>
  </si>
  <si>
    <t>UK 0126 0022</t>
  </si>
  <si>
    <t>(0 a 5) m</t>
  </si>
  <si>
    <t>CD-10090</t>
  </si>
  <si>
    <t xml:space="preserve">REQUIERE AJUSTE: </t>
  </si>
  <si>
    <t>VALOR ANTES DE AJUSTE:</t>
  </si>
  <si>
    <t>FLUIDO DE PRUEBA:</t>
  </si>
  <si>
    <t>NO</t>
  </si>
  <si>
    <t>RANGO PRESIÓN</t>
  </si>
  <si>
    <t>TOLERANCIA</t>
  </si>
  <si>
    <t>NITRÓGENO</t>
  </si>
  <si>
    <t>15-70</t>
  </si>
  <si>
    <t>± 2 psi</t>
  </si>
  <si>
    <t>15 - 70 PSI</t>
  </si>
  <si>
    <t>SECCIÓN 6: CONDICIONES AMBIENTALES REGISTRADAS</t>
  </si>
  <si>
    <t>70-300</t>
  </si>
  <si>
    <t>± 3% DEL SET</t>
  </si>
  <si>
    <t>70-3000</t>
  </si>
  <si>
    <t>300-1000</t>
  </si>
  <si>
    <t>± 10 psi</t>
  </si>
  <si>
    <t>MÍNIMA</t>
  </si>
  <si>
    <t>MÁXIMA</t>
  </si>
  <si>
    <t>UNIDADES</t>
  </si>
  <si>
    <t>± 1% DEL SET</t>
  </si>
  <si>
    <t>TEMPERATURA</t>
  </si>
  <si>
    <t>°C</t>
  </si>
  <si>
    <t>HUMEDAD RELATIVA</t>
  </si>
  <si>
    <t>%hr</t>
  </si>
  <si>
    <t>PRESIÓN ATMOSFÉRICA</t>
  </si>
  <si>
    <t>hPa</t>
  </si>
  <si>
    <t>SECCIÓN 7: RESULTADOS DE CALIBRACIÓN</t>
  </si>
  <si>
    <t>Presión de escape (Simmer)</t>
  </si>
  <si>
    <t>Incertidumbre</t>
  </si>
  <si>
    <t>DECLARACIÓN DE CONFORMIDAD</t>
  </si>
  <si>
    <t>Limite superior</t>
  </si>
  <si>
    <t>Incertidumbre máxima</t>
  </si>
  <si>
    <t>Limite inferior</t>
  </si>
  <si>
    <t>k</t>
  </si>
  <si>
    <t>ASME SEC. I parágrafo 72.2</t>
  </si>
  <si>
    <t xml:space="preserve">Los resultados de conformidad aplican para la presión de escape. La presión de escape no debe exceder la especificación establecida en </t>
  </si>
  <si>
    <t>ASME SEC VIII parágrafo UG-126 punto c</t>
  </si>
  <si>
    <t xml:space="preserve"> de acuerdo con el set de presión tomado de la placa del fabricante. Adicionalmente, la incertidumbre de medición no debe ser mayor al ±1,0 % del valor medido, conforme a lo establecido en el numeral 1-3 de ASME PTC 25-2023.</t>
  </si>
  <si>
    <t>SECCIÓN 8: REPRESENTACIÓN GRÁFICA EN UNIDADES DEL EQUIPO</t>
  </si>
  <si>
    <t>SECCIÓN 9: GRÁFICA EMITIDA POR EL EQUIPO VST</t>
  </si>
  <si>
    <r>
      <rPr>
        <b/>
        <sz val="10"/>
        <color rgb="FF000000"/>
        <rFont val="Calibri"/>
        <family val="2"/>
      </rPr>
      <t>OBSERVACIONES:</t>
    </r>
    <r>
      <rPr>
        <sz val="10"/>
        <color theme="1"/>
        <rFont val="Calibri"/>
        <family val="2"/>
        <scheme val="minor"/>
      </rPr>
      <t xml:space="preserve">
- Este certificado expresa fielmente el resultado de las mediciones realizadas. NO podrá ser reproducido total o parcialmente excepto cuando se haya obtenido previamente permiso por escrito de VALSER S.A.S
- Los resultados del presente certificado se refieren al ítem, momento y condiciones en que se realizó la prueba, VALSER S.A.S no se responsabiliza de los perjuicios que pueda ocasionar el uso inadecuado del servicio prestado. 
</t>
    </r>
    <r>
      <rPr>
        <sz val="10"/>
        <rFont val="Calibri"/>
        <family val="2"/>
      </rPr>
      <t>- La presión de escape corresponde al promedio de los 3 escapes registrados durante la calibración, evidenciados en la gráfica de la sección 8.</t>
    </r>
    <r>
      <rPr>
        <sz val="10"/>
        <color theme="1"/>
        <rFont val="Calibri"/>
        <family val="2"/>
        <scheme val="minor"/>
      </rPr>
      <t xml:space="preserve">
- La conversión de unidades para pasar a unidades del SI (kPa= psi * 6,894 757) esta conversión es tomada según la guía NIST SP-811 del 2008 sección B.9
- Descargo de responsabilidad ajuste válvulas de seguridad: Con la aceptación del servicio de calibración de las válvulas de seguridad, se da por entendido que se autoriza el ajuste de la válvula para dejarla al set de presión indicado en la placa del equipo de acuerdo con lo establecido en el GON-FO-04</t>
    </r>
  </si>
  <si>
    <t>- Descargo de responsabilidad de área efectiva: El área efectiva es calculada con base a diámetros tomados del manual del fabricante. Por lo anterior VALSER S.A.S no se hace responsable de esta información.</t>
  </si>
  <si>
    <t>- Descargo de responsabilidad por cambio de set de presión: Por solicitud del cliente, se realiza la calibración y ajuste a una presión diferente a la indicada en la placa del fabricante. Por lo anterior VALSER S.A.S. no se hace responsable por este cambio.</t>
  </si>
  <si>
    <t>- Descargo de responsabilidad por válvula sin placa de identificación: Se realiza la calibración y ajuste de la válvula de seguridad a la presión indicada por el cliente, debido a que la válvula no tiene placa del fabricante. Por lo anterior VALSER S.A.S. no se hace responsable de esta información.</t>
  </si>
  <si>
    <t>DESCARGOS DE RESPONSABILIDAD</t>
  </si>
  <si>
    <t>JONATHAN GARZÓN CORTES</t>
  </si>
  <si>
    <t>HELIODORO PRADA GARNICA</t>
  </si>
  <si>
    <t>CARLOS A. SUAREZ FRANCO</t>
  </si>
  <si>
    <t>CAMILO A. FAJARDO HOYOS</t>
  </si>
  <si>
    <t>ANDRÉS F. OVALLE ORTIZ</t>
  </si>
  <si>
    <t>OPERARIO CALIBRACIÓN</t>
  </si>
  <si>
    <t>ELABORÓ INFORME</t>
  </si>
  <si>
    <t>REVISÓ Y AUTORIZÓ INFORME</t>
  </si>
  <si>
    <t>JULIAN C. ROMERO HUERTAS</t>
  </si>
  <si>
    <t>Fin del certificado</t>
  </si>
  <si>
    <t>J. ALEXANDER CASTRO</t>
  </si>
  <si>
    <t>BRAYAN GARCÍA</t>
  </si>
  <si>
    <t xml:space="preserve">Minimos </t>
  </si>
  <si>
    <t>Máximos</t>
  </si>
  <si>
    <t>Datos de prueba</t>
  </si>
  <si>
    <t>Datos del vapor</t>
  </si>
  <si>
    <t>Grafica</t>
  </si>
  <si>
    <t>Temperatura (°C)</t>
  </si>
  <si>
    <t>Transmisor</t>
  </si>
  <si>
    <t>-</t>
  </si>
  <si>
    <t>Presión (psi)</t>
  </si>
  <si>
    <t>Punto</t>
  </si>
  <si>
    <t>Valor</t>
  </si>
  <si>
    <t>EMP (arriba)</t>
  </si>
  <si>
    <t>EMP (abajo)</t>
  </si>
  <si>
    <t>Presión atmosferica (hPa)</t>
  </si>
  <si>
    <t>Celda de carga</t>
  </si>
  <si>
    <t>Humedad relativa (%)</t>
  </si>
  <si>
    <t>Lugar de prueba</t>
  </si>
  <si>
    <t>Volumen especifico</t>
  </si>
  <si>
    <t>Hora de prueba</t>
  </si>
  <si>
    <t>Operario</t>
  </si>
  <si>
    <t>Simmer (PSI)</t>
  </si>
  <si>
    <t>Simmer corregido (PSI)</t>
  </si>
  <si>
    <t>Longitudes del pie de rey (mm)</t>
  </si>
  <si>
    <t>Temperatura en cada dato (°C)</t>
  </si>
  <si>
    <t>Datos</t>
  </si>
  <si>
    <t>Presión de escape</t>
  </si>
  <si>
    <t>Diametro externo (L1)</t>
  </si>
  <si>
    <t>Diametro interno (L2)</t>
  </si>
  <si>
    <t>NOTA: Insertar esta grafica en la hoja "CALIBRACIÓN PSV"</t>
  </si>
  <si>
    <t>Variación medidas</t>
  </si>
  <si>
    <t>Tamaño alto = 5,7</t>
  </si>
  <si>
    <t>Promedio</t>
  </si>
  <si>
    <t>Presiones transmisor</t>
  </si>
  <si>
    <t>Lectura (psi)</t>
  </si>
  <si>
    <t>Altura (m)</t>
  </si>
  <si>
    <t>Presión de set</t>
  </si>
  <si>
    <t>Transmisor usado</t>
  </si>
  <si>
    <t>Trasmisores</t>
  </si>
  <si>
    <t>Celdas</t>
  </si>
  <si>
    <t>Presión de caldera</t>
  </si>
  <si>
    <t>Celda de carga usada</t>
  </si>
  <si>
    <t>VST 1 - 1000</t>
  </si>
  <si>
    <t>VST 1 - 0,5T</t>
  </si>
  <si>
    <t>Área</t>
  </si>
  <si>
    <t>In^2</t>
  </si>
  <si>
    <t>VST 1 - 5000</t>
  </si>
  <si>
    <t>VST 1 - 1T</t>
  </si>
  <si>
    <t>Fuerza a realizar</t>
  </si>
  <si>
    <t>Lb-f</t>
  </si>
  <si>
    <t>VST 2 - 145</t>
  </si>
  <si>
    <t>VST 1 - 2T</t>
  </si>
  <si>
    <t>VST 2 - 870</t>
  </si>
  <si>
    <t>VST 2 - 1T</t>
  </si>
  <si>
    <r>
      <t>Factor de cobertura (</t>
    </r>
    <r>
      <rPr>
        <b/>
        <i/>
        <sz val="11"/>
        <color theme="1"/>
        <rFont val="Calibri"/>
        <family val="2"/>
        <scheme val="minor"/>
      </rPr>
      <t>K</t>
    </r>
    <r>
      <rPr>
        <b/>
        <sz val="11"/>
        <color theme="1"/>
        <rFont val="Calibri"/>
        <family val="2"/>
        <scheme val="minor"/>
      </rPr>
      <t>)</t>
    </r>
  </si>
  <si>
    <t>Incertidumbre expandida (U)</t>
  </si>
  <si>
    <t>VST 2 - 3625</t>
  </si>
  <si>
    <t>VST 2 - 2T</t>
  </si>
  <si>
    <t>Incertidumbre por repetibilidad</t>
  </si>
  <si>
    <t>VST 2 - 5T</t>
  </si>
  <si>
    <t>Datos medidos</t>
  </si>
  <si>
    <t>Resumen incertidumbre ecuación 1</t>
  </si>
  <si>
    <t>N°</t>
  </si>
  <si>
    <t>Pm (psi)</t>
  </si>
  <si>
    <t>Desviación</t>
  </si>
  <si>
    <t>Magnitud</t>
  </si>
  <si>
    <t>Coeficientes de sensibilidad</t>
  </si>
  <si>
    <t>Grados de libertad</t>
  </si>
  <si>
    <t>P_apertura (psi)</t>
  </si>
  <si>
    <t>P_indicada (psi)</t>
  </si>
  <si>
    <t>P_generada (psi)</t>
  </si>
  <si>
    <t>Condiciones ambientales</t>
  </si>
  <si>
    <t>N</t>
  </si>
  <si>
    <t>Pt (psi)</t>
  </si>
  <si>
    <t>L1 (mm)</t>
  </si>
  <si>
    <t>L1 (m)</t>
  </si>
  <si>
    <t>L2 (mm)</t>
  </si>
  <si>
    <t>L2 (m)</t>
  </si>
  <si>
    <t>Tm (°C)</t>
  </si>
  <si>
    <t>To (°C)</t>
  </si>
  <si>
    <t>Humedad (%HR)</t>
  </si>
  <si>
    <t>Condiciones del vapor</t>
  </si>
  <si>
    <t>Datos ecuación 2</t>
  </si>
  <si>
    <t>Resolución (psi)</t>
  </si>
  <si>
    <t>Deriva (psi)</t>
  </si>
  <si>
    <t>Suma de residuos - Interpolación</t>
  </si>
  <si>
    <t>Certificado (psi)</t>
  </si>
  <si>
    <t>Factor de cobertura</t>
  </si>
  <si>
    <t>Transmisor de presión VST1 - 1000 psi</t>
  </si>
  <si>
    <t>Transmisor de presión  VST1 - 5000 psi</t>
  </si>
  <si>
    <t>Transmisor de presión  VST2 - 145 psi</t>
  </si>
  <si>
    <t>Transmisor de presión  VST2 - 870 psi</t>
  </si>
  <si>
    <t>Transmisor de presión  VST2 - 3625 psi</t>
  </si>
  <si>
    <t>u resolución (psi)</t>
  </si>
  <si>
    <t>u deriva (psi)</t>
  </si>
  <si>
    <t>u Interpolación (psi)</t>
  </si>
  <si>
    <t>u certificado (psi)</t>
  </si>
  <si>
    <t>u combinada (psi)</t>
  </si>
  <si>
    <t>u_Presión transmisor (Pt) (psi)</t>
  </si>
  <si>
    <t>Coeficiente de sensibilidad</t>
  </si>
  <si>
    <t>u_Presión indicada (psi)</t>
  </si>
  <si>
    <t>Datos ecuación 2.A</t>
  </si>
  <si>
    <t>Resolución (m)</t>
  </si>
  <si>
    <t>Deriva (m)</t>
  </si>
  <si>
    <t>Suma de residuos - Interpolación (m)</t>
  </si>
  <si>
    <t>Certificado (m)</t>
  </si>
  <si>
    <r>
      <t>Factor de cobertura (</t>
    </r>
    <r>
      <rPr>
        <b/>
        <i/>
        <sz val="11"/>
        <color theme="1"/>
        <rFont val="Calibri"/>
        <family val="2"/>
        <scheme val="minor"/>
      </rPr>
      <t>k</t>
    </r>
    <r>
      <rPr>
        <b/>
        <sz val="11"/>
        <color theme="1"/>
        <rFont val="Calibri"/>
        <family val="2"/>
        <scheme val="minor"/>
      </rPr>
      <t>)</t>
    </r>
  </si>
  <si>
    <t>Factor de cobertura (k)</t>
  </si>
  <si>
    <t>Flexómetro</t>
  </si>
  <si>
    <t>Termohigrometro (Presión)</t>
  </si>
  <si>
    <t>Termohigrometro (Humedad)</t>
  </si>
  <si>
    <t>Termohigrometro (Temperatura)</t>
  </si>
  <si>
    <t>Densidad vapor (kg/m3)</t>
  </si>
  <si>
    <t>Densidad aire (kg/m3)</t>
  </si>
  <si>
    <t>u resolución</t>
  </si>
  <si>
    <t>u deriva</t>
  </si>
  <si>
    <t>u Interpolación</t>
  </si>
  <si>
    <t>u certificado</t>
  </si>
  <si>
    <t>u combinada</t>
  </si>
  <si>
    <t>Gravedad (m/s^2)</t>
  </si>
  <si>
    <t>Presión (hPa)</t>
  </si>
  <si>
    <t>Humedad (%hr)</t>
  </si>
  <si>
    <t>U certificado</t>
  </si>
  <si>
    <t>u_Densidad aire</t>
  </si>
  <si>
    <t>u_k (Pa)</t>
  </si>
  <si>
    <t>u_k (psi)</t>
  </si>
  <si>
    <t>Datos ecuación 3</t>
  </si>
  <si>
    <t>Resolución (kN)</t>
  </si>
  <si>
    <t>Deriva (kN)</t>
  </si>
  <si>
    <t>Interpolación (kN)</t>
  </si>
  <si>
    <t>Certificado (kN)</t>
  </si>
  <si>
    <t>Celda de carga VST 1 - 0,5T</t>
  </si>
  <si>
    <t>Celda de carga VST 1- 1T</t>
  </si>
  <si>
    <t>Celda de carga VST 1- 2T</t>
  </si>
  <si>
    <t>Celda de carga VST 2- 1T</t>
  </si>
  <si>
    <t>Celda de carga VST 2- 2T</t>
  </si>
  <si>
    <t>Celda de carga VST 2- 5T</t>
  </si>
  <si>
    <t>u resolución (kN)</t>
  </si>
  <si>
    <t>u deriva (kN)</t>
  </si>
  <si>
    <t>u Interpolación (kN)</t>
  </si>
  <si>
    <t>u certificado (kN)</t>
  </si>
  <si>
    <t>u combinada (kN)</t>
  </si>
  <si>
    <t>Celda de carga VST 1 - 1T</t>
  </si>
  <si>
    <t>Celda de carga VST 1 - 2T</t>
  </si>
  <si>
    <t>Celda de carga VST 2 - 1T</t>
  </si>
  <si>
    <t>Celda de carga VST 2 - 2T</t>
  </si>
  <si>
    <t>Celda de carga VST 2 - 5T</t>
  </si>
  <si>
    <t>Presión generada (Pg) (psi)</t>
  </si>
  <si>
    <t>Fuerza (Lb-f)</t>
  </si>
  <si>
    <t>Fuerza (kN)</t>
  </si>
  <si>
    <t>u_Fuerza (kN)</t>
  </si>
  <si>
    <t>u_Fuerza (lb-f)</t>
  </si>
  <si>
    <t>u_Presión generada (kPa)</t>
  </si>
  <si>
    <t>U_Presión generada (psi)</t>
  </si>
  <si>
    <t>Datos e incertidumbre ecuación 4</t>
  </si>
  <si>
    <t>Área (m^2)</t>
  </si>
  <si>
    <t>Área (in^2)</t>
  </si>
  <si>
    <t>u_Área (m^2)</t>
  </si>
  <si>
    <t>Datos ecuación 5</t>
  </si>
  <si>
    <t>Resolución</t>
  </si>
  <si>
    <t>Deriva</t>
  </si>
  <si>
    <t>Lectura</t>
  </si>
  <si>
    <t>Certificado</t>
  </si>
  <si>
    <t>Longitud 1</t>
  </si>
  <si>
    <t>Longitud 2</t>
  </si>
  <si>
    <t>Incertidumbre ecuación 5</t>
  </si>
  <si>
    <t>u interpolación</t>
  </si>
  <si>
    <t>u lectura</t>
  </si>
  <si>
    <t xml:space="preserve"> u Total (mm)</t>
  </si>
  <si>
    <t>u combinada (m)</t>
  </si>
  <si>
    <t>Temperatura</t>
  </si>
  <si>
    <t>µm/m.K</t>
  </si>
  <si>
    <t>m/m.K</t>
  </si>
  <si>
    <t>µ-inch/inch.°F</t>
  </si>
  <si>
    <t>100°C (212°F)</t>
  </si>
  <si>
    <t>200°C (392°F)</t>
  </si>
  <si>
    <t>Coeficiente (m/m.K)</t>
  </si>
  <si>
    <t>300°C (572°F)</t>
  </si>
  <si>
    <t>400°C (752°F)</t>
  </si>
  <si>
    <t>500°C (932°F)</t>
  </si>
  <si>
    <t>Diametro (m)</t>
  </si>
  <si>
    <t>u_ Diámetro (m)</t>
  </si>
  <si>
    <t>600°C (1112°F)</t>
  </si>
  <si>
    <t>700°C (1292°F)</t>
  </si>
  <si>
    <t>Promedio
 (100 -700)</t>
  </si>
  <si>
    <t xml:space="preserve">CERTIFICADO DE CALIBRACIÓN VÁLVULAS DE SEGURIDAD REPORTES VST </t>
  </si>
  <si>
    <t>OHSQ-FO-44</t>
  </si>
  <si>
    <t>CONTROL DE CAMBIOS</t>
  </si>
  <si>
    <t>DESCRIPCIÓN</t>
  </si>
  <si>
    <t>AUTOR</t>
  </si>
  <si>
    <t>01</t>
  </si>
  <si>
    <t>Creación del documento</t>
  </si>
  <si>
    <t>Andres Felipe Ovalle Ortiz
Asesor Comercial</t>
  </si>
  <si>
    <t>02</t>
  </si>
  <si>
    <t>Modificiacion estructura y formulas</t>
  </si>
  <si>
    <t>Camilo Andres Fajardo Hoyos
Asesor Comercial</t>
  </si>
  <si>
    <t>03</t>
  </si>
  <si>
    <t>Modificación estructura y formulas</t>
  </si>
  <si>
    <t xml:space="preserve">Julian Camilo Romero huertas
Asesor Comercial </t>
  </si>
  <si>
    <t>04</t>
  </si>
  <si>
    <t>Se modifica totalmente el formato para poder cumplir con la norma, adicionalmente se añaden todas las contribuciones de incertidumbre</t>
  </si>
  <si>
    <t>05</t>
  </si>
  <si>
    <t>Se añade la celda de 0,5T al formato, además de actualizar nuevamente la incertidumbre con las últimas calibraciones.</t>
  </si>
  <si>
    <t>06</t>
  </si>
  <si>
    <t>Actualización del documento, se complementa el método utilizado, se complementa el lugar de prueba, ajuste de redacción de la especificación y se modifica la redacción de los participantes de la calibración</t>
  </si>
  <si>
    <t>07</t>
  </si>
  <si>
    <t xml:space="preserve">Actualización del documento con cambios de forma e incluyendo los descargos de responsabilidad </t>
  </si>
  <si>
    <t>09</t>
  </si>
  <si>
    <t>Se actualiza el logo, para cambiarlo junto con el simbolo de acreditado ONAC</t>
  </si>
  <si>
    <t>Andres Felipe Ovalle Ortiz
Líder de laboratorio</t>
  </si>
  <si>
    <t>CONTROL DE REVISIONES</t>
  </si>
  <si>
    <t>ELABORADO POR</t>
  </si>
  <si>
    <t>REVISADO POR</t>
  </si>
  <si>
    <t>APROBADO POR</t>
  </si>
  <si>
    <t>Nombre:</t>
  </si>
  <si>
    <t>Andres Felipe Ovalle Ortiz</t>
  </si>
  <si>
    <t>Camilo Andres Fajardo Hoyos</t>
  </si>
  <si>
    <t>Carlos Alberto Suarez Franco</t>
  </si>
  <si>
    <t>Cargo:</t>
  </si>
  <si>
    <t>Líder de laboratorio</t>
  </si>
  <si>
    <t>Director Comercial</t>
  </si>
  <si>
    <t>Gerente General</t>
  </si>
  <si>
    <t>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</si>
</sst>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yyyy\-mm\-dd;@"/>
    <numFmt numFmtId="165" formatCode="0.000"/>
    <numFmt numFmtId="166" formatCode="0.0"/>
    <numFmt numFmtId="167" formatCode="0.00000000"/>
    <numFmt numFmtId="168" formatCode="0.0000000000"/>
    <numFmt numFmtId="169" formatCode="0.000000000E+00"/>
    <numFmt numFmtId="170" formatCode="0.000000000"/>
    <numFmt numFmtId="171" formatCode="0.00000"/>
    <numFmt numFmtId="172" formatCode="0.00000E+00"/>
    <numFmt numFmtId="173" formatCode="0.000000E+00"/>
    <numFmt numFmtId="174" formatCode="0.0%"/>
  </numFmts>
  <fonts count="56" x14ac:knownFonts="1">
    <font>
      <sz val="11"/>
      <color theme="1"/>
      <name val="Calibri"/>
      <family val="2"/>
      <scheme val="minor"/>
    </font>
    <font>
      <sz val="10"/>
      <color theme="1"/>
      <name val="Calibri"/>
      <family val="2"/>
      <scheme val="minor"/>
    </font>
    <font>
      <sz val="11"/>
      <color rgb="FF002060"/>
      <name val="Calibri"/>
      <family val="2"/>
      <scheme val="minor"/>
    </font>
    <font>
      <sz val="11"/>
      <color theme="1"/>
      <name val="Calibri"/>
      <family val="2"/>
      <scheme val="minor"/>
    </font>
    <font>
      <b/>
      <sz val="11"/>
      <name val="Calibri"/>
      <family val="2"/>
      <scheme val="minor"/>
    </font>
    <font>
      <sz val="11"/>
      <name val="Calibri"/>
      <family val="2"/>
      <scheme val="minor"/>
    </font>
    <font>
      <b/>
      <sz val="10"/>
      <name val="Calibri"/>
      <family val="2"/>
      <scheme val="minor"/>
    </font>
    <font>
      <sz val="9"/>
      <name val="Calibri"/>
      <family val="2"/>
      <scheme val="minor"/>
    </font>
    <font>
      <sz val="10"/>
      <name val="Calibri"/>
      <family val="2"/>
      <scheme val="minor"/>
    </font>
    <font>
      <sz val="9"/>
      <color theme="1"/>
      <name val="Calibri"/>
      <family val="2"/>
      <scheme val="minor"/>
    </font>
    <font>
      <sz val="10"/>
      <color theme="1"/>
      <name val="Arial Rounded MT Bold"/>
      <family val="2"/>
    </font>
    <font>
      <b/>
      <sz val="12"/>
      <color theme="1"/>
      <name val="Prompt"/>
    </font>
    <font>
      <b/>
      <sz val="9"/>
      <color theme="1"/>
      <name val="Prompt"/>
    </font>
    <font>
      <sz val="9"/>
      <color theme="1"/>
      <name val="Arial Rounded MT Bold"/>
      <family val="2"/>
    </font>
    <font>
      <sz val="9"/>
      <name val="Arial Rounded MT Bold"/>
      <family val="2"/>
    </font>
    <font>
      <b/>
      <sz val="12"/>
      <color rgb="FF0D780C"/>
      <name val="Prompt"/>
    </font>
    <font>
      <sz val="12"/>
      <color rgb="FF0D780C"/>
      <name val="Prompt"/>
    </font>
    <font>
      <b/>
      <sz val="9"/>
      <color rgb="FFFFFFFF"/>
      <name val="Prompt"/>
    </font>
    <font>
      <b/>
      <sz val="10"/>
      <color rgb="FFFFFFFF"/>
      <name val="Prompt"/>
    </font>
    <font>
      <b/>
      <sz val="9"/>
      <color rgb="FF0D780C"/>
      <name val="Prompt"/>
    </font>
    <font>
      <sz val="10"/>
      <color theme="1"/>
      <name val="Times New Roman"/>
      <family val="1"/>
    </font>
    <font>
      <i/>
      <sz val="11"/>
      <color theme="1"/>
      <name val="Calibri"/>
      <family val="2"/>
      <scheme val="minor"/>
    </font>
    <font>
      <b/>
      <sz val="11"/>
      <color theme="0"/>
      <name val="Calibri"/>
      <family val="2"/>
      <scheme val="minor"/>
    </font>
    <font>
      <b/>
      <sz val="9"/>
      <name val="Calibri"/>
      <family val="2"/>
      <scheme val="minor"/>
    </font>
    <font>
      <b/>
      <sz val="11"/>
      <color theme="1"/>
      <name val="Calibri"/>
      <family val="2"/>
      <scheme val="minor"/>
    </font>
    <font>
      <b/>
      <sz val="12"/>
      <name val="Arial"/>
      <family val="2"/>
    </font>
    <font>
      <b/>
      <sz val="12"/>
      <name val="Arial Rounded MT Bold"/>
      <family val="2"/>
    </font>
    <font>
      <b/>
      <sz val="10"/>
      <name val="Arial"/>
      <family val="2"/>
    </font>
    <font>
      <sz val="10"/>
      <name val="Arial"/>
      <family val="2"/>
    </font>
    <font>
      <sz val="9"/>
      <name val="Arial"/>
      <family val="2"/>
    </font>
    <font>
      <sz val="11"/>
      <color theme="1"/>
      <name val="Calibri"/>
      <family val="2"/>
    </font>
    <font>
      <sz val="10"/>
      <color rgb="FF000000"/>
      <name val="Calibri"/>
      <family val="2"/>
    </font>
    <font>
      <b/>
      <sz val="11"/>
      <name val="Calibri"/>
      <family val="2"/>
    </font>
    <font>
      <sz val="11"/>
      <color rgb="FF002060"/>
      <name val="Calibri"/>
      <family val="2"/>
    </font>
    <font>
      <b/>
      <sz val="10"/>
      <name val="Calibri"/>
      <family val="2"/>
    </font>
    <font>
      <sz val="10"/>
      <name val="Calibri"/>
      <family val="2"/>
    </font>
    <font>
      <sz val="11"/>
      <name val="Calibri"/>
      <family val="2"/>
    </font>
    <font>
      <b/>
      <sz val="11"/>
      <color rgb="FF002060"/>
      <name val="Calibri"/>
      <family val="2"/>
    </font>
    <font>
      <sz val="9"/>
      <color rgb="FF002060"/>
      <name val="Calibri"/>
      <family val="2"/>
    </font>
    <font>
      <sz val="9"/>
      <name val="Calibri"/>
      <family val="2"/>
    </font>
    <font>
      <b/>
      <sz val="8"/>
      <color rgb="FF002060"/>
      <name val="Calibri"/>
      <family val="2"/>
    </font>
    <font>
      <b/>
      <sz val="11"/>
      <color rgb="FF000000"/>
      <name val="Calibri"/>
      <family val="2"/>
    </font>
    <font>
      <b/>
      <sz val="10"/>
      <color rgb="FF000000"/>
      <name val="Calibri"/>
      <family val="2"/>
    </font>
    <font>
      <b/>
      <sz val="10"/>
      <color rgb="FFFFFFFF"/>
      <name val="Calibri"/>
      <family val="2"/>
    </font>
    <font>
      <b/>
      <sz val="10"/>
      <color rgb="FFFF0000"/>
      <name val="Calibri"/>
      <family val="2"/>
    </font>
    <font>
      <sz val="10"/>
      <color rgb="FF002060"/>
      <name val="Calibri"/>
      <family val="2"/>
      <scheme val="minor"/>
    </font>
    <font>
      <i/>
      <sz val="10"/>
      <name val="Calibri"/>
      <family val="2"/>
      <scheme val="minor"/>
    </font>
    <font>
      <b/>
      <i/>
      <sz val="11"/>
      <color theme="1"/>
      <name val="Calibri"/>
      <family val="2"/>
      <scheme val="minor"/>
    </font>
    <font>
      <b/>
      <sz val="9"/>
      <color indexed="81"/>
      <name val="Tahoma"/>
      <family val="2"/>
    </font>
    <font>
      <sz val="9"/>
      <color indexed="81"/>
      <name val="Tahoma"/>
      <family val="2"/>
    </font>
    <font>
      <sz val="10"/>
      <color theme="1"/>
      <name val="Calibri"/>
      <family val="2"/>
    </font>
    <font>
      <sz val="10"/>
      <color rgb="FF002060"/>
      <name val="Calibri"/>
      <family val="2"/>
    </font>
    <font>
      <u/>
      <sz val="10"/>
      <color rgb="FF0070C0"/>
      <name val="Calibri"/>
      <family val="2"/>
    </font>
    <font>
      <sz val="8"/>
      <name val="Calibri"/>
      <family val="2"/>
      <scheme val="minor"/>
    </font>
    <font>
      <sz val="16"/>
      <color rgb="FFFF0000"/>
      <name val="Calibri"/>
      <family val="2"/>
      <scheme val="minor"/>
    </font>
    <font>
      <sz val="7"/>
      <color theme="1"/>
      <name val="Arial Rounded MT Bold"/>
      <family val="2"/>
    </font>
  </fonts>
  <fills count="9">
    <fill>
      <patternFill patternType="none"/>
    </fill>
    <fill>
      <patternFill patternType="gray125"/>
    </fill>
    <fill>
      <patternFill patternType="solid">
        <fgColor indexed="9"/>
        <bgColor indexed="64"/>
      </patternFill>
    </fill>
    <fill>
      <patternFill patternType="solid">
        <fgColor rgb="FF0D6F0C"/>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indexed="64"/>
      </patternFill>
    </fill>
  </fills>
  <borders count="69">
    <border>
      <left/>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ck">
        <color rgb="FF0D780C"/>
      </left>
      <right style="medium">
        <color rgb="FFFFFFFF"/>
      </right>
      <top style="thick">
        <color rgb="FF0D780C"/>
      </top>
      <bottom style="thick">
        <color rgb="FF0D780C"/>
      </bottom>
      <diagonal/>
    </border>
    <border>
      <left/>
      <right style="medium">
        <color rgb="FFFFFFFF"/>
      </right>
      <top style="thick">
        <color rgb="FF0D780C"/>
      </top>
      <bottom style="thick">
        <color rgb="FF0D780C"/>
      </bottom>
      <diagonal/>
    </border>
    <border>
      <left style="medium">
        <color rgb="FFFFFFFF"/>
      </left>
      <right/>
      <top/>
      <bottom/>
      <diagonal/>
    </border>
    <border>
      <left style="thick">
        <color rgb="FF0D780C"/>
      </left>
      <right style="medium">
        <color rgb="FF0D780C"/>
      </right>
      <top/>
      <bottom style="medium">
        <color rgb="FF0D780C"/>
      </bottom>
      <diagonal/>
    </border>
    <border>
      <left/>
      <right/>
      <top/>
      <bottom style="medium">
        <color rgb="FF0D780C"/>
      </bottom>
      <diagonal/>
    </border>
    <border>
      <left style="medium">
        <color rgb="FF0D6F0C"/>
      </left>
      <right style="thin">
        <color indexed="64"/>
      </right>
      <top style="medium">
        <color rgb="FF0D6F0C"/>
      </top>
      <bottom style="medium">
        <color rgb="FF0D6F0C"/>
      </bottom>
      <diagonal/>
    </border>
    <border>
      <left style="thin">
        <color indexed="64"/>
      </left>
      <right style="thin">
        <color indexed="64"/>
      </right>
      <top style="medium">
        <color rgb="FF0D6F0C"/>
      </top>
      <bottom style="medium">
        <color rgb="FF0D6F0C"/>
      </bottom>
      <diagonal/>
    </border>
    <border>
      <left style="thin">
        <color indexed="64"/>
      </left>
      <right style="medium">
        <color rgb="FF0D6F0C"/>
      </right>
      <top style="medium">
        <color rgb="FF0D6F0C"/>
      </top>
      <bottom style="medium">
        <color rgb="FF0D6F0C"/>
      </bottom>
      <diagonal/>
    </border>
    <border>
      <left style="thick">
        <color rgb="FF0D780C"/>
      </left>
      <right/>
      <top/>
      <bottom/>
      <diagonal/>
    </border>
    <border>
      <left style="thick">
        <color rgb="FF0D780C"/>
      </left>
      <right/>
      <top style="thick">
        <color rgb="FF0D780C"/>
      </top>
      <bottom style="thick">
        <color rgb="FF0D780C"/>
      </bottom>
      <diagonal/>
    </border>
    <border>
      <left/>
      <right style="medium">
        <color rgb="FF0D780C"/>
      </right>
      <top style="thick">
        <color rgb="FF0D780C"/>
      </top>
      <bottom style="thick">
        <color rgb="FF0D780C"/>
      </bottom>
      <diagonal/>
    </border>
    <border>
      <left style="medium">
        <color rgb="FF0D780C"/>
      </left>
      <right/>
      <top style="thick">
        <color rgb="FF0D780C"/>
      </top>
      <bottom style="thick">
        <color rgb="FF0D780C"/>
      </bottom>
      <diagonal/>
    </border>
    <border>
      <left/>
      <right/>
      <top style="thick">
        <color rgb="FF0D780C"/>
      </top>
      <bottom style="thick">
        <color rgb="FF0D780C"/>
      </bottom>
      <diagonal/>
    </border>
    <border>
      <left style="medium">
        <color rgb="FF0D6F0C"/>
      </left>
      <right style="thin">
        <color indexed="64"/>
      </right>
      <top/>
      <bottom style="medium">
        <color rgb="FF0D6F0C"/>
      </bottom>
      <diagonal/>
    </border>
    <border>
      <left style="thin">
        <color indexed="64"/>
      </left>
      <right style="thin">
        <color indexed="64"/>
      </right>
      <top/>
      <bottom style="medium">
        <color rgb="FF0D6F0C"/>
      </bottom>
      <diagonal/>
    </border>
    <border>
      <left style="thin">
        <color indexed="64"/>
      </left>
      <right style="medium">
        <color rgb="FF0D6F0C"/>
      </right>
      <top/>
      <bottom style="medium">
        <color rgb="FF0D6F0C"/>
      </bottom>
      <diagonal/>
    </border>
    <border>
      <left/>
      <right style="medium">
        <color rgb="FF0D780C"/>
      </right>
      <top/>
      <bottom style="medium">
        <color rgb="FF0D780C"/>
      </bottom>
      <diagonal/>
    </border>
    <border>
      <left style="thick">
        <color rgb="FF0D780C"/>
      </left>
      <right style="medium">
        <color rgb="FF0D780C"/>
      </right>
      <top/>
      <bottom style="thick">
        <color rgb="FF0D780C"/>
      </bottom>
      <diagonal/>
    </border>
    <border>
      <left/>
      <right style="medium">
        <color rgb="FF0D780C"/>
      </right>
      <top/>
      <bottom style="thick">
        <color rgb="FF0D780C"/>
      </bottom>
      <diagonal/>
    </border>
    <border>
      <left/>
      <right/>
      <top/>
      <bottom style="thick">
        <color rgb="FF0D780C"/>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3">
    <xf numFmtId="0" fontId="0" fillId="0" borderId="0"/>
    <xf numFmtId="0" fontId="3" fillId="0" borderId="0"/>
    <xf numFmtId="9" fontId="3" fillId="0" borderId="0" applyFont="0" applyFill="0" applyBorder="0" applyAlignment="0" applyProtection="0"/>
  </cellStyleXfs>
  <cellXfs count="429">
    <xf numFmtId="0" fontId="0" fillId="0" borderId="0" xfId="0"/>
    <xf numFmtId="0" fontId="3" fillId="0" borderId="0" xfId="1"/>
    <xf numFmtId="0" fontId="12" fillId="0" borderId="2" xfId="1" applyFont="1" applyBorder="1" applyAlignment="1">
      <alignment horizontal="center" vertical="center" wrapText="1"/>
    </xf>
    <xf numFmtId="0" fontId="13" fillId="0" borderId="2" xfId="1" applyFont="1" applyBorder="1" applyAlignment="1">
      <alignment horizontal="center" vertical="center" wrapText="1"/>
    </xf>
    <xf numFmtId="0" fontId="12" fillId="0" borderId="2" xfId="1" applyFont="1" applyBorder="1" applyAlignment="1">
      <alignment horizontal="center" vertical="center"/>
    </xf>
    <xf numFmtId="164" fontId="14" fillId="2" borderId="2" xfId="1" applyNumberFormat="1" applyFont="1" applyFill="1" applyBorder="1" applyAlignment="1">
      <alignment horizontal="center" vertical="center" wrapText="1"/>
    </xf>
    <xf numFmtId="0" fontId="15" fillId="0" borderId="0" xfId="1" applyFont="1" applyAlignment="1">
      <alignment horizontal="center" vertical="center"/>
    </xf>
    <xf numFmtId="0" fontId="16" fillId="0" borderId="0" xfId="1" applyFont="1" applyAlignment="1">
      <alignment horizontal="center" vertical="center"/>
    </xf>
    <xf numFmtId="0" fontId="17" fillId="3" borderId="22" xfId="1" applyFont="1" applyFill="1" applyBorder="1" applyAlignment="1">
      <alignment horizontal="center" vertical="center" wrapText="1"/>
    </xf>
    <xf numFmtId="0" fontId="17" fillId="3" borderId="23" xfId="1" applyFont="1" applyFill="1" applyBorder="1" applyAlignment="1">
      <alignment horizontal="center" vertical="center" wrapText="1"/>
    </xf>
    <xf numFmtId="164" fontId="10" fillId="0" borderId="25" xfId="1" applyNumberFormat="1" applyFont="1" applyBorder="1" applyAlignment="1">
      <alignment horizontal="center" vertical="center" wrapText="1"/>
    </xf>
    <xf numFmtId="0" fontId="10" fillId="0" borderId="0" xfId="1" applyFont="1" applyAlignment="1">
      <alignment horizontal="right" vertical="center"/>
    </xf>
    <xf numFmtId="0" fontId="21" fillId="0" borderId="0" xfId="1" applyFont="1"/>
    <xf numFmtId="0" fontId="0" fillId="0" borderId="2" xfId="0" applyBorder="1" applyAlignment="1">
      <alignment horizontal="center" vertical="center"/>
    </xf>
    <xf numFmtId="0" fontId="0" fillId="0" borderId="2" xfId="0" applyBorder="1" applyAlignment="1">
      <alignment horizontal="center"/>
    </xf>
    <xf numFmtId="0" fontId="24" fillId="0" borderId="2" xfId="0" applyFont="1" applyBorder="1" applyAlignment="1">
      <alignment horizontal="center" vertical="center"/>
    </xf>
    <xf numFmtId="0" fontId="0" fillId="0" borderId="2" xfId="0" applyBorder="1" applyAlignment="1">
      <alignment horizontal="center" vertical="center" wrapText="1"/>
    </xf>
    <xf numFmtId="2" fontId="0" fillId="0" borderId="2" xfId="0" applyNumberFormat="1" applyBorder="1" applyAlignment="1">
      <alignment horizontal="center" vertical="center"/>
    </xf>
    <xf numFmtId="0" fontId="0" fillId="0" borderId="2" xfId="0" quotePrefix="1" applyBorder="1" applyAlignment="1">
      <alignment horizontal="center" vertical="center"/>
    </xf>
    <xf numFmtId="0" fontId="0" fillId="0" borderId="0" xfId="0" applyAlignment="1">
      <alignment horizontal="center"/>
    </xf>
    <xf numFmtId="0" fontId="0" fillId="0" borderId="43" xfId="0" applyBorder="1" applyAlignment="1">
      <alignment horizontal="center" vertical="center"/>
    </xf>
    <xf numFmtId="0" fontId="0" fillId="0" borderId="0" xfId="0" applyAlignment="1">
      <alignment horizontal="center" vertical="center"/>
    </xf>
    <xf numFmtId="2" fontId="0" fillId="0" borderId="0" xfId="0" applyNumberFormat="1" applyAlignment="1">
      <alignment horizontal="center"/>
    </xf>
    <xf numFmtId="2"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0" fillId="0" borderId="50" xfId="0" applyBorder="1" applyAlignment="1">
      <alignment horizontal="center" vertical="center"/>
    </xf>
    <xf numFmtId="0" fontId="0" fillId="6" borderId="2" xfId="0" applyFill="1" applyBorder="1" applyAlignment="1">
      <alignment horizontal="center"/>
    </xf>
    <xf numFmtId="1" fontId="0" fillId="0" borderId="2" xfId="0" applyNumberFormat="1" applyBorder="1" applyAlignment="1">
      <alignment horizontal="center" vertical="center"/>
    </xf>
    <xf numFmtId="0" fontId="0" fillId="7" borderId="2" xfId="0" applyFill="1" applyBorder="1" applyAlignment="1">
      <alignment horizontal="center" vertical="center"/>
    </xf>
    <xf numFmtId="0" fontId="0" fillId="6" borderId="2" xfId="0" applyFill="1" applyBorder="1" applyAlignment="1">
      <alignment horizontal="center" vertical="center"/>
    </xf>
    <xf numFmtId="0" fontId="0" fillId="6" borderId="2" xfId="0" applyFill="1" applyBorder="1" applyAlignment="1">
      <alignment horizontal="center" vertical="center" wrapText="1"/>
    </xf>
    <xf numFmtId="0" fontId="0" fillId="0" borderId="0" xfId="0" applyAlignment="1">
      <alignment vertical="center" wrapText="1"/>
    </xf>
    <xf numFmtId="0" fontId="0" fillId="0" borderId="0" xfId="0" quotePrefix="1"/>
    <xf numFmtId="0" fontId="0" fillId="0" borderId="2" xfId="0" applyBorder="1" applyAlignment="1">
      <alignment vertical="center" wrapText="1"/>
    </xf>
    <xf numFmtId="0" fontId="0" fillId="0" borderId="6" xfId="0" applyBorder="1" applyAlignment="1">
      <alignment horizontal="center" vertical="center"/>
    </xf>
    <xf numFmtId="0" fontId="0" fillId="0" borderId="11" xfId="0" applyBorder="1" applyAlignment="1">
      <alignment horizontal="center" vertical="center"/>
    </xf>
    <xf numFmtId="0" fontId="24" fillId="0" borderId="2" xfId="0" applyFont="1" applyBorder="1" applyAlignment="1">
      <alignment horizontal="center" vertical="center" wrapText="1"/>
    </xf>
    <xf numFmtId="0" fontId="24" fillId="0" borderId="0" xfId="0" applyFont="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4" fillId="0" borderId="43" xfId="0" applyFont="1" applyBorder="1" applyAlignment="1">
      <alignment horizontal="center" vertical="center" wrapText="1"/>
    </xf>
    <xf numFmtId="167" fontId="0" fillId="0" borderId="2" xfId="0" applyNumberFormat="1" applyBorder="1" applyAlignment="1">
      <alignment horizontal="center" vertical="center"/>
    </xf>
    <xf numFmtId="0" fontId="0" fillId="0" borderId="8" xfId="0" applyBorder="1" applyAlignment="1">
      <alignment horizontal="center" vertical="center"/>
    </xf>
    <xf numFmtId="0" fontId="0" fillId="0" borderId="12" xfId="0" applyBorder="1" applyAlignment="1">
      <alignment horizontal="center" vertical="center"/>
    </xf>
    <xf numFmtId="9" fontId="0" fillId="0" borderId="2" xfId="0" applyNumberFormat="1" applyBorder="1" applyAlignment="1">
      <alignment horizontal="center" vertical="center"/>
    </xf>
    <xf numFmtId="0" fontId="0" fillId="0" borderId="2" xfId="0" applyBorder="1"/>
    <xf numFmtId="0" fontId="24" fillId="0" borderId="14" xfId="0" applyFont="1" applyBorder="1" applyAlignment="1">
      <alignment horizontal="center" vertical="center"/>
    </xf>
    <xf numFmtId="0" fontId="24" fillId="0" borderId="14" xfId="0" applyFont="1" applyBorder="1" applyAlignment="1">
      <alignment horizontal="center" vertical="center" wrapText="1"/>
    </xf>
    <xf numFmtId="0" fontId="24" fillId="0" borderId="1" xfId="0" applyFont="1" applyBorder="1" applyAlignment="1">
      <alignment horizontal="center" vertical="center" wrapText="1"/>
    </xf>
    <xf numFmtId="0" fontId="0" fillId="0" borderId="52" xfId="0" applyBorder="1" applyAlignment="1">
      <alignment horizontal="center" vertical="center"/>
    </xf>
    <xf numFmtId="0" fontId="0" fillId="0" borderId="53" xfId="0" applyBorder="1" applyAlignment="1">
      <alignment horizontal="center" vertical="center"/>
    </xf>
    <xf numFmtId="0" fontId="24" fillId="0" borderId="52" xfId="0" applyFont="1" applyBorder="1" applyAlignment="1">
      <alignment horizontal="center" vertical="center"/>
    </xf>
    <xf numFmtId="0" fontId="24" fillId="0" borderId="53" xfId="0" applyFont="1" applyBorder="1" applyAlignment="1">
      <alignment horizontal="center" vertical="center" wrapText="1"/>
    </xf>
    <xf numFmtId="0" fontId="24" fillId="0" borderId="0" xfId="0" applyFont="1" applyAlignment="1">
      <alignment horizontal="center" vertical="center" wrapText="1"/>
    </xf>
    <xf numFmtId="165" fontId="0" fillId="0" borderId="2" xfId="0" applyNumberFormat="1" applyBorder="1" applyAlignment="1">
      <alignment horizontal="center" vertical="center"/>
    </xf>
    <xf numFmtId="0" fontId="0" fillId="0" borderId="61" xfId="0" applyBorder="1" applyAlignment="1">
      <alignment horizontal="center" vertical="center"/>
    </xf>
    <xf numFmtId="0" fontId="0" fillId="0" borderId="9" xfId="0" applyBorder="1" applyAlignment="1">
      <alignment horizontal="center" vertical="center"/>
    </xf>
    <xf numFmtId="0" fontId="24" fillId="0" borderId="52" xfId="0" applyFont="1" applyBorder="1" applyAlignment="1">
      <alignment horizontal="center" vertical="center" wrapText="1"/>
    </xf>
    <xf numFmtId="0" fontId="0" fillId="0" borderId="54" xfId="0" applyBorder="1" applyAlignment="1">
      <alignment horizontal="center" vertical="center"/>
    </xf>
    <xf numFmtId="167" fontId="0" fillId="0" borderId="56" xfId="0" applyNumberFormat="1" applyBorder="1" applyAlignment="1">
      <alignment horizontal="center" vertical="center"/>
    </xf>
    <xf numFmtId="0" fontId="0" fillId="0" borderId="56" xfId="0" applyBorder="1" applyAlignment="1">
      <alignment horizontal="center" vertical="center"/>
    </xf>
    <xf numFmtId="0" fontId="0" fillId="0" borderId="12" xfId="0" applyBorder="1"/>
    <xf numFmtId="169" fontId="0" fillId="0" borderId="0" xfId="0" applyNumberFormat="1" applyAlignment="1">
      <alignment horizontal="center" vertical="center"/>
    </xf>
    <xf numFmtId="0" fontId="24" fillId="0" borderId="15" xfId="0" applyFont="1" applyBorder="1" applyAlignment="1">
      <alignment horizontal="center" vertical="center" wrapText="1"/>
    </xf>
    <xf numFmtId="170" fontId="0" fillId="0" borderId="2" xfId="0" applyNumberFormat="1" applyBorder="1" applyAlignment="1">
      <alignment horizontal="center" vertical="center"/>
    </xf>
    <xf numFmtId="171" fontId="0" fillId="0" borderId="0" xfId="0" applyNumberFormat="1" applyAlignment="1">
      <alignment horizontal="center" vertical="center"/>
    </xf>
    <xf numFmtId="170" fontId="0" fillId="0" borderId="56" xfId="0" applyNumberFormat="1" applyBorder="1" applyAlignment="1">
      <alignment horizontal="center" vertical="center"/>
    </xf>
    <xf numFmtId="0" fontId="0" fillId="0" borderId="55" xfId="0" applyBorder="1" applyAlignment="1">
      <alignment horizontal="center" vertical="center"/>
    </xf>
    <xf numFmtId="0" fontId="0" fillId="0" borderId="63" xfId="0" applyBorder="1" applyAlignment="1">
      <alignment horizontal="center" vertical="center"/>
    </xf>
    <xf numFmtId="172" fontId="0" fillId="0" borderId="2" xfId="0" applyNumberFormat="1" applyBorder="1" applyAlignment="1">
      <alignment horizontal="center" vertical="center"/>
    </xf>
    <xf numFmtId="173" fontId="0" fillId="0" borderId="56" xfId="0" applyNumberFormat="1" applyBorder="1" applyAlignment="1">
      <alignment horizontal="center" vertical="center"/>
    </xf>
    <xf numFmtId="166" fontId="0" fillId="0" borderId="56" xfId="0" applyNumberFormat="1" applyBorder="1" applyAlignment="1">
      <alignment horizontal="center" vertical="center"/>
    </xf>
    <xf numFmtId="166" fontId="0" fillId="0" borderId="2" xfId="0" applyNumberFormat="1" applyBorder="1" applyAlignment="1">
      <alignment horizontal="center" vertical="center"/>
    </xf>
    <xf numFmtId="166" fontId="0" fillId="4" borderId="2" xfId="0" applyNumberFormat="1" applyFill="1" applyBorder="1" applyAlignment="1">
      <alignment horizontal="center" vertical="center"/>
    </xf>
    <xf numFmtId="166" fontId="0" fillId="0" borderId="2" xfId="0" applyNumberFormat="1" applyBorder="1" applyAlignment="1">
      <alignment horizontal="center"/>
    </xf>
    <xf numFmtId="168" fontId="0" fillId="0" borderId="4" xfId="0" applyNumberFormat="1" applyBorder="1" applyAlignment="1">
      <alignment horizontal="center" vertical="center"/>
    </xf>
    <xf numFmtId="168" fontId="0" fillId="0" borderId="2" xfId="0" applyNumberFormat="1" applyBorder="1" applyAlignment="1">
      <alignment horizontal="center" vertical="center"/>
    </xf>
    <xf numFmtId="167" fontId="0" fillId="0" borderId="53" xfId="0" applyNumberFormat="1" applyBorder="1" applyAlignment="1">
      <alignment horizontal="center" vertical="center"/>
    </xf>
    <xf numFmtId="168" fontId="0" fillId="0" borderId="56" xfId="0" applyNumberFormat="1" applyBorder="1" applyAlignment="1">
      <alignment horizontal="center" vertical="center"/>
    </xf>
    <xf numFmtId="0" fontId="10" fillId="0" borderId="26" xfId="1" quotePrefix="1" applyFont="1" applyBorder="1" applyAlignment="1">
      <alignment horizontal="center" vertical="center" wrapText="1"/>
    </xf>
    <xf numFmtId="0" fontId="30" fillId="0" borderId="0" xfId="0" applyFont="1" applyAlignment="1">
      <alignment vertical="center"/>
    </xf>
    <xf numFmtId="0" fontId="31" fillId="0" borderId="0" xfId="0" applyFont="1" applyAlignment="1">
      <alignment vertical="center"/>
    </xf>
    <xf numFmtId="0" fontId="28" fillId="0" borderId="56" xfId="0" quotePrefix="1" applyFont="1" applyBorder="1" applyAlignment="1">
      <alignment horizontal="center" vertical="center" wrapText="1"/>
    </xf>
    <xf numFmtId="0" fontId="1" fillId="0" borderId="0" xfId="0" applyFont="1" applyAlignment="1">
      <alignment vertical="center"/>
    </xf>
    <xf numFmtId="0" fontId="6" fillId="0" borderId="0" xfId="0" applyFont="1" applyAlignment="1">
      <alignment horizontal="center" vertical="center"/>
    </xf>
    <xf numFmtId="0" fontId="33" fillId="0" borderId="5" xfId="0" applyFont="1" applyBorder="1" applyAlignment="1">
      <alignment horizontal="center" vertical="center"/>
    </xf>
    <xf numFmtId="0" fontId="33" fillId="0" borderId="6" xfId="0" applyFont="1" applyBorder="1" applyAlignment="1">
      <alignment horizontal="center" vertical="center"/>
    </xf>
    <xf numFmtId="0" fontId="33" fillId="0" borderId="6" xfId="0" applyFont="1" applyBorder="1" applyAlignment="1">
      <alignment horizontal="left" vertical="center" wrapText="1"/>
    </xf>
    <xf numFmtId="0" fontId="33" fillId="0" borderId="11" xfId="0" applyFont="1" applyBorder="1" applyAlignment="1">
      <alignment horizontal="center" vertical="center"/>
    </xf>
    <xf numFmtId="0" fontId="34" fillId="0" borderId="3" xfId="0" applyFont="1" applyBorder="1" applyAlignment="1">
      <alignment vertical="center"/>
    </xf>
    <xf numFmtId="0" fontId="34" fillId="0" borderId="0" xfId="0" applyFont="1" applyAlignment="1">
      <alignment horizontal="right" vertical="center"/>
    </xf>
    <xf numFmtId="0" fontId="35" fillId="0" borderId="9" xfId="0" applyFont="1" applyBorder="1" applyAlignment="1">
      <alignment horizontal="center" vertical="center"/>
    </xf>
    <xf numFmtId="0" fontId="35" fillId="0" borderId="0" xfId="0" applyFont="1" applyAlignment="1">
      <alignment horizontal="center" vertical="center"/>
    </xf>
    <xf numFmtId="0" fontId="36" fillId="0" borderId="4" xfId="0" applyFont="1" applyBorder="1" applyAlignment="1">
      <alignment vertical="center"/>
    </xf>
    <xf numFmtId="0" fontId="1" fillId="0" borderId="0" xfId="0" applyFont="1" applyAlignment="1">
      <alignment horizontal="center" vertical="center"/>
    </xf>
    <xf numFmtId="0" fontId="35" fillId="0" borderId="0" xfId="0" applyFont="1" applyAlignment="1">
      <alignment horizontal="right" vertical="center"/>
    </xf>
    <xf numFmtId="0" fontId="1" fillId="0" borderId="2" xfId="0" applyFont="1" applyBorder="1" applyAlignment="1">
      <alignment horizontal="center" vertical="center"/>
    </xf>
    <xf numFmtId="0" fontId="36" fillId="0" borderId="9" xfId="0" applyFont="1" applyBorder="1" applyAlignment="1">
      <alignment horizontal="center" vertical="center"/>
    </xf>
    <xf numFmtId="0" fontId="6" fillId="0" borderId="0" xfId="0" applyFont="1" applyAlignment="1">
      <alignment vertical="center"/>
    </xf>
    <xf numFmtId="0" fontId="37" fillId="0" borderId="7" xfId="0" applyFont="1" applyBorder="1" applyAlignment="1">
      <alignment vertical="center"/>
    </xf>
    <xf numFmtId="0" fontId="37" fillId="0" borderId="8" xfId="0" applyFont="1" applyBorder="1" applyAlignment="1">
      <alignment vertical="center"/>
    </xf>
    <xf numFmtId="0" fontId="33" fillId="0" borderId="8" xfId="0" applyFont="1" applyBorder="1" applyAlignment="1">
      <alignment vertical="center"/>
    </xf>
    <xf numFmtId="14" fontId="38" fillId="0" borderId="8" xfId="0" applyNumberFormat="1" applyFont="1" applyBorder="1" applyAlignment="1">
      <alignment horizontal="center" vertical="center"/>
    </xf>
    <xf numFmtId="0" fontId="33" fillId="0" borderId="8" xfId="0" applyFont="1" applyBorder="1" applyAlignment="1">
      <alignment horizontal="left" vertical="center"/>
    </xf>
    <xf numFmtId="0" fontId="33" fillId="0" borderId="8" xfId="0" applyFont="1" applyBorder="1" applyAlignment="1">
      <alignment horizontal="center" vertical="center"/>
    </xf>
    <xf numFmtId="0" fontId="33" fillId="0" borderId="12" xfId="0" applyFont="1" applyBorder="1" applyAlignment="1">
      <alignment horizontal="center" vertical="center"/>
    </xf>
    <xf numFmtId="0" fontId="30" fillId="0" borderId="3" xfId="0" applyFont="1" applyBorder="1" applyAlignment="1">
      <alignment vertical="center"/>
    </xf>
    <xf numFmtId="0" fontId="39" fillId="0" borderId="4" xfId="0" applyFont="1" applyBorder="1" applyAlignment="1">
      <alignment horizontal="center" vertical="center"/>
    </xf>
    <xf numFmtId="0" fontId="33" fillId="0" borderId="3" xfId="0" applyFont="1" applyBorder="1" applyAlignment="1">
      <alignment horizontal="center" vertical="center"/>
    </xf>
    <xf numFmtId="14" fontId="34" fillId="0" borderId="0" xfId="0" applyNumberFormat="1" applyFont="1" applyAlignment="1">
      <alignment horizontal="right" vertical="center"/>
    </xf>
    <xf numFmtId="0" fontId="35" fillId="0" borderId="9" xfId="0" quotePrefix="1" applyFont="1" applyBorder="1" applyAlignment="1">
      <alignment horizontal="center" vertical="center"/>
    </xf>
    <xf numFmtId="0" fontId="33" fillId="0" borderId="4" xfId="0" applyFont="1" applyBorder="1" applyAlignment="1">
      <alignment horizontal="center" vertical="center"/>
    </xf>
    <xf numFmtId="0" fontId="33" fillId="0" borderId="0" xfId="0" applyFont="1" applyAlignment="1">
      <alignment horizontal="center" vertical="center"/>
    </xf>
    <xf numFmtId="0" fontId="39" fillId="0" borderId="4" xfId="0" applyFont="1" applyBorder="1" applyAlignment="1">
      <alignment vertical="center" wrapText="1"/>
    </xf>
    <xf numFmtId="0" fontId="5" fillId="0" borderId="2" xfId="0" applyFont="1" applyBorder="1" applyAlignment="1">
      <alignment horizontal="center" vertical="center"/>
    </xf>
    <xf numFmtId="0" fontId="36" fillId="0" borderId="3" xfId="0" applyFont="1" applyBorder="1" applyAlignment="1">
      <alignment horizontal="right" vertical="center"/>
    </xf>
    <xf numFmtId="0" fontId="36" fillId="0" borderId="4" xfId="0" applyFont="1" applyBorder="1" applyAlignment="1">
      <alignment horizontal="center" vertical="center"/>
    </xf>
    <xf numFmtId="0" fontId="8" fillId="0" borderId="2" xfId="0" applyFont="1" applyBorder="1" applyAlignment="1">
      <alignment horizontal="center" vertical="center"/>
    </xf>
    <xf numFmtId="0" fontId="35" fillId="0" borderId="0" xfId="0" applyFont="1" applyAlignment="1">
      <alignment horizontal="left" vertical="center"/>
    </xf>
    <xf numFmtId="0" fontId="40" fillId="0" borderId="7" xfId="0" applyFont="1" applyBorder="1" applyAlignment="1">
      <alignment horizontal="left" vertical="center" wrapText="1"/>
    </xf>
    <xf numFmtId="0" fontId="40" fillId="0" borderId="8" xfId="0" applyFont="1" applyBorder="1" applyAlignment="1">
      <alignment horizontal="left" vertical="center" wrapText="1"/>
    </xf>
    <xf numFmtId="3" fontId="33" fillId="0" borderId="8" xfId="0" applyNumberFormat="1" applyFont="1" applyBorder="1" applyAlignment="1">
      <alignment horizontal="center" vertical="center"/>
    </xf>
    <xf numFmtId="0" fontId="33" fillId="0" borderId="8" xfId="0" applyFont="1" applyBorder="1" applyAlignment="1">
      <alignment vertical="center" wrapText="1"/>
    </xf>
    <xf numFmtId="0" fontId="33" fillId="0" borderId="12" xfId="0" applyFont="1" applyBorder="1" applyAlignment="1">
      <alignment horizontal="center" vertical="center" wrapText="1"/>
    </xf>
    <xf numFmtId="14" fontId="8" fillId="0" borderId="2" xfId="0" applyNumberFormat="1" applyFont="1" applyBorder="1" applyAlignment="1">
      <alignment horizontal="center" vertical="center"/>
    </xf>
    <xf numFmtId="0" fontId="22" fillId="0" borderId="0" xfId="0" applyFont="1" applyAlignment="1">
      <alignment vertical="center"/>
    </xf>
    <xf numFmtId="0" fontId="2" fillId="0" borderId="0" xfId="0" applyFont="1" applyAlignment="1">
      <alignment horizontal="left" vertical="center" wrapText="1"/>
    </xf>
    <xf numFmtId="0" fontId="1" fillId="0" borderId="0" xfId="0" applyFont="1" applyAlignment="1">
      <alignment horizontal="center"/>
    </xf>
    <xf numFmtId="0" fontId="7" fillId="0" borderId="0" xfId="0" applyFont="1" applyAlignment="1">
      <alignment horizontal="center" vertical="center"/>
    </xf>
    <xf numFmtId="0" fontId="8" fillId="0" borderId="2" xfId="0" quotePrefix="1" applyFont="1" applyBorder="1" applyAlignment="1">
      <alignment horizontal="center" vertical="center"/>
    </xf>
    <xf numFmtId="0" fontId="23" fillId="0" borderId="0" xfId="0" applyFont="1" applyAlignment="1">
      <alignment horizontal="center" vertical="center"/>
    </xf>
    <xf numFmtId="14" fontId="7" fillId="0" borderId="0" xfId="0" applyNumberFormat="1" applyFont="1" applyAlignment="1">
      <alignment horizontal="center" vertical="center"/>
    </xf>
    <xf numFmtId="0" fontId="9" fillId="0" borderId="0" xfId="0" applyFont="1" applyAlignment="1">
      <alignment horizontal="center" vertical="center"/>
    </xf>
    <xf numFmtId="0" fontId="8" fillId="0" borderId="0" xfId="0" applyFont="1" applyAlignment="1">
      <alignment horizontal="center" vertical="center"/>
    </xf>
    <xf numFmtId="14" fontId="8" fillId="0" borderId="0" xfId="0" applyNumberFormat="1" applyFont="1" applyAlignment="1">
      <alignment horizontal="center" vertical="center"/>
    </xf>
    <xf numFmtId="0" fontId="1" fillId="0" borderId="0" xfId="0" applyFont="1" applyAlignment="1">
      <alignment horizontal="center" vertical="center" wrapText="1"/>
    </xf>
    <xf numFmtId="0" fontId="8" fillId="0" borderId="0" xfId="0" applyFont="1" applyAlignment="1">
      <alignment horizontal="center" vertical="center" wrapText="1"/>
    </xf>
    <xf numFmtId="0" fontId="2" fillId="0" borderId="0" xfId="0" applyFont="1" applyAlignment="1">
      <alignment horizontal="center" vertical="center"/>
    </xf>
    <xf numFmtId="0" fontId="33" fillId="0" borderId="7" xfId="0" applyFont="1" applyBorder="1" applyAlignment="1">
      <alignment horizontal="center" vertical="center"/>
    </xf>
    <xf numFmtId="0" fontId="33" fillId="0" borderId="8" xfId="0" applyFont="1" applyBorder="1" applyAlignment="1">
      <alignment horizontal="left" vertical="center" wrapText="1"/>
    </xf>
    <xf numFmtId="14" fontId="8" fillId="0" borderId="2" xfId="0" applyNumberFormat="1" applyFont="1" applyBorder="1" applyAlignment="1">
      <alignment horizontal="center" vertical="center" wrapText="1"/>
    </xf>
    <xf numFmtId="0" fontId="8" fillId="0" borderId="2" xfId="0" quotePrefix="1" applyFont="1" applyBorder="1" applyAlignment="1">
      <alignment horizontal="center" vertical="center" wrapText="1"/>
    </xf>
    <xf numFmtId="0" fontId="30" fillId="0" borderId="3" xfId="0" applyFont="1" applyBorder="1"/>
    <xf numFmtId="0" fontId="42" fillId="0" borderId="0" xfId="0" applyFont="1" applyAlignment="1">
      <alignment horizontal="center" vertical="center"/>
    </xf>
    <xf numFmtId="0" fontId="30" fillId="0" borderId="4" xfId="0" applyFont="1" applyBorder="1"/>
    <xf numFmtId="0" fontId="5" fillId="0" borderId="0" xfId="0" applyFont="1" applyAlignment="1">
      <alignment horizontal="center" vertical="center"/>
    </xf>
    <xf numFmtId="0" fontId="42" fillId="0" borderId="0" xfId="0" applyFont="1" applyAlignment="1">
      <alignment horizontal="right" vertical="center"/>
    </xf>
    <xf numFmtId="0" fontId="31" fillId="0" borderId="9" xfId="0" applyFont="1" applyBorder="1" applyAlignment="1">
      <alignment horizontal="center" vertical="center"/>
    </xf>
    <xf numFmtId="164" fontId="5" fillId="0" borderId="0" xfId="0" applyNumberFormat="1" applyFont="1" applyAlignment="1">
      <alignment horizontal="center" vertical="center"/>
    </xf>
    <xf numFmtId="0" fontId="30" fillId="0" borderId="7" xfId="0" applyFont="1" applyBorder="1"/>
    <xf numFmtId="0" fontId="30" fillId="0" borderId="8" xfId="0" applyFont="1" applyBorder="1"/>
    <xf numFmtId="0" fontId="30" fillId="0" borderId="8" xfId="0" applyFont="1" applyBorder="1" applyAlignment="1">
      <alignment horizontal="right"/>
    </xf>
    <xf numFmtId="0" fontId="36" fillId="0" borderId="8" xfId="0" applyFont="1" applyBorder="1" applyAlignment="1">
      <alignment vertical="center"/>
    </xf>
    <xf numFmtId="0" fontId="36" fillId="0" borderId="12" xfId="0" applyFont="1" applyBorder="1" applyAlignment="1">
      <alignment vertical="center"/>
    </xf>
    <xf numFmtId="0" fontId="30"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left" vertical="center"/>
    </xf>
    <xf numFmtId="0" fontId="5" fillId="0" borderId="0" xfId="0" applyFont="1" applyAlignment="1">
      <alignment vertical="center" wrapText="1"/>
    </xf>
    <xf numFmtId="0" fontId="35" fillId="0" borderId="2" xfId="0" quotePrefix="1" applyFont="1" applyBorder="1" applyAlignment="1">
      <alignment horizontal="center" vertical="center"/>
    </xf>
    <xf numFmtId="0" fontId="6" fillId="0" borderId="0" xfId="0" applyFont="1" applyAlignment="1">
      <alignment horizontal="right" vertical="center"/>
    </xf>
    <xf numFmtId="9" fontId="8" fillId="0" borderId="2" xfId="0" quotePrefix="1" applyNumberFormat="1" applyFont="1" applyBorder="1" applyAlignment="1">
      <alignment horizontal="center" vertical="center"/>
    </xf>
    <xf numFmtId="9" fontId="8" fillId="0" borderId="0" xfId="0" quotePrefix="1" applyNumberFormat="1" applyFont="1" applyAlignment="1">
      <alignment horizontal="center" vertical="center"/>
    </xf>
    <xf numFmtId="0" fontId="6" fillId="0" borderId="0" xfId="0" applyFont="1"/>
    <xf numFmtId="0" fontId="45" fillId="0" borderId="0" xfId="0" applyFont="1" applyAlignment="1">
      <alignment horizontal="center" vertical="center"/>
    </xf>
    <xf numFmtId="0" fontId="45" fillId="0" borderId="0" xfId="0" applyFont="1" applyAlignment="1">
      <alignment horizontal="center" vertical="center" wrapText="1"/>
    </xf>
    <xf numFmtId="0" fontId="46" fillId="0" borderId="2" xfId="0" applyFont="1" applyBorder="1" applyAlignment="1">
      <alignment horizontal="center"/>
    </xf>
    <xf numFmtId="0" fontId="36" fillId="0" borderId="3" xfId="0" applyFont="1" applyBorder="1" applyAlignment="1">
      <alignment horizontal="center" vertical="center"/>
    </xf>
    <xf numFmtId="0" fontId="36" fillId="0" borderId="9" xfId="0" applyFont="1" applyBorder="1" applyAlignment="1">
      <alignment horizontal="left" vertical="center" wrapText="1"/>
    </xf>
    <xf numFmtId="0" fontId="32" fillId="0" borderId="3" xfId="0" applyFont="1" applyBorder="1" applyAlignment="1">
      <alignment vertical="center"/>
    </xf>
    <xf numFmtId="0" fontId="32" fillId="0" borderId="4" xfId="0" applyFont="1" applyBorder="1" applyAlignment="1">
      <alignment vertical="center"/>
    </xf>
    <xf numFmtId="0" fontId="36" fillId="0" borderId="8" xfId="0" applyFont="1" applyBorder="1" applyAlignment="1">
      <alignment horizontal="center" vertical="center"/>
    </xf>
    <xf numFmtId="0" fontId="30" fillId="0" borderId="0" xfId="0" applyFont="1" applyAlignment="1">
      <alignment horizontal="left" vertical="center" wrapText="1"/>
    </xf>
    <xf numFmtId="0" fontId="44" fillId="0" borderId="0" xfId="0" applyFont="1" applyAlignment="1">
      <alignment horizontal="center" vertical="center"/>
    </xf>
    <xf numFmtId="0" fontId="30" fillId="0" borderId="0" xfId="0" applyFont="1" applyAlignment="1">
      <alignment horizontal="left" vertical="center"/>
    </xf>
    <xf numFmtId="0" fontId="30" fillId="0" borderId="0" xfId="0" applyFont="1" applyAlignment="1">
      <alignment horizontal="center" vertical="center" wrapText="1"/>
    </xf>
    <xf numFmtId="0" fontId="0" fillId="0" borderId="49" xfId="0" applyBorder="1" applyAlignment="1">
      <alignment horizontal="center" vertical="center" wrapText="1"/>
    </xf>
    <xf numFmtId="49" fontId="13" fillId="0" borderId="2" xfId="1" quotePrefix="1" applyNumberFormat="1" applyFont="1" applyBorder="1" applyAlignment="1">
      <alignment horizontal="center" vertical="center" wrapText="1"/>
    </xf>
    <xf numFmtId="0" fontId="0" fillId="8" borderId="2" xfId="0" applyFill="1" applyBorder="1" applyAlignment="1">
      <alignment vertical="center"/>
    </xf>
    <xf numFmtId="0" fontId="0" fillId="2" borderId="2" xfId="0" applyFill="1" applyBorder="1" applyAlignment="1">
      <alignment vertical="center"/>
    </xf>
    <xf numFmtId="0" fontId="8" fillId="0" borderId="2" xfId="0" applyFont="1" applyBorder="1" applyAlignment="1">
      <alignment horizontal="center" vertical="center" wrapText="1"/>
    </xf>
    <xf numFmtId="0" fontId="35" fillId="0" borderId="0" xfId="0" applyFont="1" applyAlignment="1">
      <alignment horizontal="left" vertical="center" wrapText="1"/>
    </xf>
    <xf numFmtId="0" fontId="1" fillId="0" borderId="48" xfId="0" applyFont="1" applyBorder="1" applyAlignment="1">
      <alignment horizontal="center" vertical="center"/>
    </xf>
    <xf numFmtId="14" fontId="1" fillId="0" borderId="2" xfId="0" applyNumberFormat="1" applyFont="1" applyBorder="1" applyAlignment="1">
      <alignment horizontal="center" vertical="center"/>
    </xf>
    <xf numFmtId="0" fontId="5" fillId="0" borderId="0" xfId="0" applyFont="1" applyAlignment="1">
      <alignment vertical="center"/>
    </xf>
    <xf numFmtId="0" fontId="34" fillId="0" borderId="2" xfId="0" applyFont="1" applyBorder="1" applyAlignment="1">
      <alignment horizontal="center" vertical="center"/>
    </xf>
    <xf numFmtId="0" fontId="35" fillId="0" borderId="2" xfId="0" applyFont="1" applyBorder="1" applyAlignment="1">
      <alignment horizontal="center" vertical="center"/>
    </xf>
    <xf numFmtId="0" fontId="51" fillId="0" borderId="0" xfId="0" applyFont="1" applyAlignment="1">
      <alignment horizontal="center" vertical="center"/>
    </xf>
    <xf numFmtId="14" fontId="35" fillId="0" borderId="0" xfId="0" applyNumberFormat="1" applyFont="1" applyAlignment="1">
      <alignment horizontal="center" vertical="center"/>
    </xf>
    <xf numFmtId="0" fontId="51" fillId="0" borderId="0" xfId="0" applyFont="1" applyAlignment="1">
      <alignment horizontal="left" vertical="center" wrapText="1"/>
    </xf>
    <xf numFmtId="0" fontId="35" fillId="0" borderId="0" xfId="0" applyFont="1" applyAlignment="1">
      <alignment horizontal="right" vertical="center" wrapText="1"/>
    </xf>
    <xf numFmtId="3" fontId="35" fillId="0" borderId="0" xfId="0" applyNumberFormat="1" applyFont="1" applyAlignment="1">
      <alignment horizontal="center" vertical="center" wrapText="1"/>
    </xf>
    <xf numFmtId="2" fontId="35" fillId="0" borderId="9" xfId="0" applyNumberFormat="1" applyFont="1" applyBorder="1" applyAlignment="1">
      <alignment horizontal="center" vertical="center"/>
    </xf>
    <xf numFmtId="164" fontId="35" fillId="0" borderId="0" xfId="0" applyNumberFormat="1" applyFont="1" applyAlignment="1">
      <alignment horizontal="center" vertical="center"/>
    </xf>
    <xf numFmtId="164" fontId="35" fillId="0" borderId="13" xfId="0" applyNumberFormat="1" applyFont="1" applyBorder="1" applyAlignment="1">
      <alignment horizontal="center" vertical="center"/>
    </xf>
    <xf numFmtId="0" fontId="1" fillId="0" borderId="0" xfId="0" applyFont="1"/>
    <xf numFmtId="0" fontId="36" fillId="0" borderId="7" xfId="0" applyFont="1" applyBorder="1" applyAlignment="1">
      <alignment vertical="center"/>
    </xf>
    <xf numFmtId="0" fontId="36" fillId="0" borderId="12" xfId="0" applyFont="1" applyBorder="1" applyAlignment="1">
      <alignment vertical="center" wrapText="1"/>
    </xf>
    <xf numFmtId="0" fontId="8" fillId="0" borderId="0" xfId="0" applyFont="1" applyAlignment="1">
      <alignment horizontal="center"/>
    </xf>
    <xf numFmtId="11" fontId="5" fillId="0" borderId="0" xfId="0" applyNumberFormat="1" applyFont="1" applyAlignment="1">
      <alignment horizontal="center"/>
    </xf>
    <xf numFmtId="11" fontId="5" fillId="0" borderId="0" xfId="0" applyNumberFormat="1" applyFont="1" applyAlignment="1">
      <alignment horizontal="center" vertical="center"/>
    </xf>
    <xf numFmtId="0" fontId="43" fillId="0" borderId="5" xfId="0" applyFont="1" applyBorder="1" applyAlignment="1">
      <alignment horizontal="center" vertical="center"/>
    </xf>
    <xf numFmtId="0" fontId="43" fillId="0" borderId="6" xfId="0" applyFont="1" applyBorder="1" applyAlignment="1">
      <alignment horizontal="center" vertical="center"/>
    </xf>
    <xf numFmtId="0" fontId="43" fillId="0" borderId="6" xfId="0" applyFont="1" applyBorder="1" applyAlignment="1">
      <alignment vertical="center"/>
    </xf>
    <xf numFmtId="0" fontId="43" fillId="0" borderId="6" xfId="0" applyFont="1" applyBorder="1" applyAlignment="1">
      <alignment vertical="center" wrapText="1"/>
    </xf>
    <xf numFmtId="0" fontId="43" fillId="0" borderId="11" xfId="0" applyFont="1" applyBorder="1" applyAlignment="1">
      <alignment vertical="center" wrapText="1"/>
    </xf>
    <xf numFmtId="0" fontId="41" fillId="0" borderId="3" xfId="0" applyFont="1" applyBorder="1"/>
    <xf numFmtId="0" fontId="41" fillId="0" borderId="0" xfId="0" applyFont="1" applyAlignment="1">
      <alignment horizontal="center" vertical="center"/>
    </xf>
    <xf numFmtId="0" fontId="36" fillId="0" borderId="4" xfId="0" applyFont="1" applyBorder="1" applyAlignment="1">
      <alignment vertical="center" wrapText="1"/>
    </xf>
    <xf numFmtId="0" fontId="50" fillId="0" borderId="0" xfId="0" applyFont="1" applyAlignment="1">
      <alignment horizontal="center" vertical="center"/>
    </xf>
    <xf numFmtId="0" fontId="36" fillId="0" borderId="0" xfId="0" applyFont="1" applyAlignment="1">
      <alignment horizontal="center" vertical="center" wrapText="1"/>
    </xf>
    <xf numFmtId="0" fontId="30" fillId="0" borderId="0" xfId="0" applyFont="1" applyAlignment="1">
      <alignment horizontal="center"/>
    </xf>
    <xf numFmtId="0" fontId="34" fillId="0" borderId="0" xfId="0" applyFont="1" applyAlignment="1">
      <alignment horizontal="center" vertical="center"/>
    </xf>
    <xf numFmtId="0" fontId="30" fillId="0" borderId="3" xfId="0" applyFont="1" applyBorder="1" applyAlignment="1">
      <alignment horizontal="center"/>
    </xf>
    <xf numFmtId="0" fontId="30" fillId="0" borderId="4" xfId="0" applyFont="1" applyBorder="1" applyAlignment="1">
      <alignment horizontal="center"/>
    </xf>
    <xf numFmtId="0" fontId="1" fillId="0" borderId="2" xfId="0" applyFont="1" applyBorder="1" applyAlignment="1">
      <alignment horizontal="center"/>
    </xf>
    <xf numFmtId="9" fontId="50" fillId="0" borderId="0" xfId="2" applyFont="1" applyFill="1" applyAlignment="1">
      <alignment horizontal="center" vertical="center"/>
    </xf>
    <xf numFmtId="166" fontId="50" fillId="0" borderId="0" xfId="0" applyNumberFormat="1" applyFont="1" applyAlignment="1">
      <alignment horizontal="center" vertical="center"/>
    </xf>
    <xf numFmtId="174" fontId="0" fillId="0" borderId="2" xfId="0" applyNumberFormat="1" applyBorder="1" applyAlignment="1">
      <alignment horizontal="center"/>
    </xf>
    <xf numFmtId="2" fontId="8" fillId="0" borderId="2" xfId="0" applyNumberFormat="1" applyFont="1" applyBorder="1" applyAlignment="1">
      <alignment horizontal="center"/>
    </xf>
    <xf numFmtId="0" fontId="36" fillId="0" borderId="0" xfId="0" applyFont="1" applyAlignment="1">
      <alignment horizontal="left" vertical="center"/>
    </xf>
    <xf numFmtId="0" fontId="36" fillId="0" borderId="0" xfId="0" applyFont="1" applyAlignment="1">
      <alignment horizontal="center" vertical="center"/>
    </xf>
    <xf numFmtId="0" fontId="32" fillId="0" borderId="0" xfId="0" applyFont="1" applyAlignment="1">
      <alignment vertical="center"/>
    </xf>
    <xf numFmtId="0" fontId="0" fillId="0" borderId="0" xfId="0" quotePrefix="1" applyAlignment="1">
      <alignment vertical="center" wrapText="1"/>
    </xf>
    <xf numFmtId="0" fontId="0" fillId="0" borderId="0" xfId="0" applyAlignment="1">
      <alignment horizontal="left"/>
    </xf>
    <xf numFmtId="0" fontId="0" fillId="0" borderId="0" xfId="0" applyAlignment="1">
      <alignment horizontal="left" vertical="center"/>
    </xf>
    <xf numFmtId="0" fontId="55" fillId="0" borderId="25" xfId="1" applyFont="1" applyBorder="1" applyAlignment="1">
      <alignment horizontal="center" vertical="center" wrapText="1"/>
    </xf>
    <xf numFmtId="0" fontId="55" fillId="0" borderId="38" xfId="1" applyFont="1" applyBorder="1" applyAlignment="1">
      <alignment horizontal="center" vertical="center" wrapText="1"/>
    </xf>
    <xf numFmtId="0" fontId="55" fillId="0" borderId="26" xfId="1" applyFont="1" applyBorder="1" applyAlignment="1">
      <alignment horizontal="center" vertical="center" wrapText="1"/>
    </xf>
    <xf numFmtId="0" fontId="55" fillId="0" borderId="39" xfId="1" applyFont="1" applyBorder="1" applyAlignment="1">
      <alignment horizontal="center" vertical="center" wrapText="1"/>
    </xf>
    <xf numFmtId="164" fontId="55" fillId="0" borderId="40" xfId="1" applyNumberFormat="1" applyFont="1" applyBorder="1" applyAlignment="1">
      <alignment horizontal="center" vertical="center" wrapText="1"/>
    </xf>
    <xf numFmtId="0" fontId="55" fillId="0" borderId="40" xfId="1" applyFont="1" applyBorder="1" applyAlignment="1">
      <alignment horizontal="center" vertical="center" wrapText="1"/>
    </xf>
    <xf numFmtId="0" fontId="55" fillId="0" borderId="41" xfId="1" applyFont="1" applyBorder="1" applyAlignment="1">
      <alignment horizontal="center" vertical="center" wrapText="1"/>
    </xf>
    <xf numFmtId="170" fontId="0" fillId="0" borderId="53" xfId="0" applyNumberFormat="1" applyBorder="1" applyAlignment="1">
      <alignment horizontal="center" vertical="center"/>
    </xf>
    <xf numFmtId="0" fontId="0" fillId="0" borderId="68" xfId="0" applyBorder="1" applyAlignment="1">
      <alignment horizontal="center" vertical="center"/>
    </xf>
    <xf numFmtId="166" fontId="0" fillId="0" borderId="0" xfId="0" applyNumberFormat="1" applyAlignment="1">
      <alignment horizontal="center"/>
    </xf>
    <xf numFmtId="164" fontId="10" fillId="0" borderId="0" xfId="1" applyNumberFormat="1" applyFont="1" applyAlignment="1">
      <alignment horizontal="center" vertical="center" wrapText="1"/>
    </xf>
    <xf numFmtId="0" fontId="10" fillId="0" borderId="0" xfId="1" quotePrefix="1" applyFont="1" applyAlignment="1">
      <alignment horizontal="center" vertical="center" wrapText="1"/>
    </xf>
    <xf numFmtId="0" fontId="10" fillId="0" borderId="0" xfId="1" applyFont="1" applyAlignment="1">
      <alignment horizontal="justify" vertical="center" wrapText="1"/>
    </xf>
    <xf numFmtId="0" fontId="10" fillId="0" borderId="0" xfId="1" applyFont="1" applyAlignment="1">
      <alignment horizontal="center" vertical="center" wrapText="1"/>
    </xf>
    <xf numFmtId="0" fontId="1" fillId="0" borderId="2" xfId="0" applyFont="1" applyBorder="1" applyAlignment="1">
      <alignment horizontal="center" vertical="center" wrapText="1"/>
    </xf>
    <xf numFmtId="0" fontId="8" fillId="0" borderId="2" xfId="0" applyFont="1" applyBorder="1" applyAlignment="1">
      <alignment horizontal="center" vertical="center" wrapText="1"/>
    </xf>
    <xf numFmtId="0" fontId="31" fillId="0" borderId="10" xfId="0" applyFont="1" applyBorder="1" applyAlignment="1">
      <alignment horizontal="center" vertical="center"/>
    </xf>
    <xf numFmtId="0" fontId="42" fillId="0" borderId="0" xfId="0" applyFont="1" applyAlignment="1">
      <alignment horizontal="right" vertical="center"/>
    </xf>
    <xf numFmtId="0" fontId="50" fillId="0" borderId="10" xfId="0" applyFont="1" applyBorder="1" applyAlignment="1">
      <alignment horizontal="center" vertical="center"/>
    </xf>
    <xf numFmtId="0" fontId="54" fillId="0" borderId="3" xfId="0" applyFont="1" applyBorder="1" applyAlignment="1">
      <alignment horizontal="center" vertical="center" wrapText="1"/>
    </xf>
    <xf numFmtId="0" fontId="54" fillId="0" borderId="0" xfId="0" applyFont="1" applyAlignment="1">
      <alignment horizontal="center" vertical="center" wrapText="1"/>
    </xf>
    <xf numFmtId="0" fontId="34" fillId="0" borderId="0" xfId="0" applyFont="1" applyAlignment="1">
      <alignment horizontal="right" vertical="center"/>
    </xf>
    <xf numFmtId="174" fontId="50" fillId="0" borderId="0" xfId="2" applyNumberFormat="1" applyFont="1" applyFill="1" applyAlignment="1">
      <alignment horizontal="center" vertical="center"/>
    </xf>
    <xf numFmtId="0" fontId="32" fillId="0" borderId="17" xfId="0" applyFont="1" applyBorder="1" applyAlignment="1">
      <alignment horizontal="center" vertical="center"/>
    </xf>
    <xf numFmtId="0" fontId="32" fillId="0" borderId="16" xfId="0" applyFont="1" applyBorder="1" applyAlignment="1">
      <alignment horizontal="center" vertical="center"/>
    </xf>
    <xf numFmtId="0" fontId="32" fillId="0" borderId="18" xfId="0" applyFont="1" applyBorder="1" applyAlignment="1">
      <alignment horizontal="center" vertical="center"/>
    </xf>
    <xf numFmtId="0" fontId="42" fillId="0" borderId="0" xfId="0" applyFont="1" applyAlignment="1">
      <alignment horizontal="center" vertical="center"/>
    </xf>
    <xf numFmtId="166" fontId="50" fillId="0" borderId="0" xfId="0" applyNumberFormat="1" applyFont="1" applyAlignment="1">
      <alignment horizontal="center" vertical="center"/>
    </xf>
    <xf numFmtId="0" fontId="50" fillId="0" borderId="0" xfId="0" applyFont="1" applyAlignment="1">
      <alignment horizontal="center" vertical="center"/>
    </xf>
    <xf numFmtId="0" fontId="41" fillId="0" borderId="17" xfId="0" applyFont="1" applyBorder="1" applyAlignment="1">
      <alignment horizontal="center" vertical="center"/>
    </xf>
    <xf numFmtId="0" fontId="41" fillId="0" borderId="16" xfId="0" applyFont="1" applyBorder="1" applyAlignment="1">
      <alignment horizontal="center" vertical="center"/>
    </xf>
    <xf numFmtId="0" fontId="41" fillId="0" borderId="18" xfId="0" applyFont="1" applyBorder="1" applyAlignment="1">
      <alignment horizontal="center" vertical="center"/>
    </xf>
    <xf numFmtId="0" fontId="35" fillId="0" borderId="0" xfId="0" applyFont="1" applyAlignment="1">
      <alignment horizontal="left" vertical="center" wrapText="1"/>
    </xf>
    <xf numFmtId="0" fontId="32" fillId="0" borderId="5" xfId="0" applyFont="1" applyBorder="1" applyAlignment="1">
      <alignment horizontal="center" vertical="center"/>
    </xf>
    <xf numFmtId="0" fontId="32" fillId="0" borderId="6" xfId="0" applyFont="1" applyBorder="1" applyAlignment="1">
      <alignment horizontal="center" vertical="center"/>
    </xf>
    <xf numFmtId="0" fontId="30" fillId="0" borderId="59" xfId="0" applyFont="1" applyBorder="1" applyAlignment="1">
      <alignment horizontal="center" vertical="center" wrapText="1"/>
    </xf>
    <xf numFmtId="0" fontId="30" fillId="0" borderId="20" xfId="0" applyFont="1" applyBorder="1" applyAlignment="1">
      <alignment horizontal="center" vertical="center" wrapText="1"/>
    </xf>
    <xf numFmtId="0" fontId="30" fillId="0" borderId="21" xfId="0" applyFont="1" applyBorder="1" applyAlignment="1">
      <alignment horizontal="center" vertical="center" wrapText="1"/>
    </xf>
    <xf numFmtId="0" fontId="50" fillId="0" borderId="7" xfId="0" quotePrefix="1" applyFont="1" applyBorder="1" applyAlignment="1">
      <alignment horizontal="left" vertical="center" wrapText="1"/>
    </xf>
    <xf numFmtId="0" fontId="50" fillId="0" borderId="8" xfId="0" quotePrefix="1" applyFont="1" applyBorder="1" applyAlignment="1">
      <alignment horizontal="left" vertical="center" wrapText="1"/>
    </xf>
    <xf numFmtId="0" fontId="50" fillId="0" borderId="12" xfId="0" quotePrefix="1" applyFont="1" applyBorder="1" applyAlignment="1">
      <alignment horizontal="left" vertical="center" wrapText="1"/>
    </xf>
    <xf numFmtId="0" fontId="31" fillId="0" borderId="9" xfId="0" applyFont="1" applyBorder="1" applyAlignment="1">
      <alignment horizontal="center" vertical="center"/>
    </xf>
    <xf numFmtId="0" fontId="25" fillId="0" borderId="51" xfId="0" applyFont="1" applyBorder="1" applyAlignment="1">
      <alignment horizontal="center" vertical="center" wrapText="1"/>
    </xf>
    <xf numFmtId="0" fontId="25" fillId="0" borderId="42"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52" xfId="0" applyFont="1" applyBorder="1" applyAlignment="1">
      <alignment horizontal="center" vertical="center" wrapText="1"/>
    </xf>
    <xf numFmtId="0" fontId="25" fillId="0" borderId="43"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54" xfId="0" applyFont="1" applyBorder="1" applyAlignment="1">
      <alignment horizontal="center" vertical="center" wrapText="1"/>
    </xf>
    <xf numFmtId="0" fontId="25" fillId="0" borderId="55" xfId="0" applyFont="1" applyBorder="1" applyAlignment="1">
      <alignment horizontal="center" vertical="center" wrapText="1"/>
    </xf>
    <xf numFmtId="0" fontId="25" fillId="0" borderId="56"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15"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2" xfId="0" applyFont="1" applyBorder="1" applyAlignment="1">
      <alignment horizontal="center" vertical="center" wrapText="1"/>
    </xf>
    <xf numFmtId="0" fontId="26" fillId="0" borderId="50" xfId="0" applyFont="1" applyBorder="1" applyAlignment="1">
      <alignment horizontal="center" vertical="center" wrapText="1"/>
    </xf>
    <xf numFmtId="0" fontId="26" fillId="0" borderId="53" xfId="0" applyFont="1" applyBorder="1" applyAlignment="1">
      <alignment horizontal="center" vertical="center" wrapText="1"/>
    </xf>
    <xf numFmtId="0" fontId="27" fillId="0" borderId="56" xfId="0" applyFont="1" applyBorder="1" applyAlignment="1">
      <alignment horizontal="center" vertical="center" wrapText="1"/>
    </xf>
    <xf numFmtId="0" fontId="28" fillId="0" borderId="57" xfId="0" applyFont="1" applyBorder="1" applyAlignment="1">
      <alignment horizontal="center" vertical="center" wrapText="1"/>
    </xf>
    <xf numFmtId="0" fontId="28" fillId="0" borderId="55" xfId="0" applyFont="1" applyBorder="1" applyAlignment="1">
      <alignment horizontal="center" vertical="center" wrapText="1"/>
    </xf>
    <xf numFmtId="164" fontId="29" fillId="0" borderId="57" xfId="1" applyNumberFormat="1" applyFont="1" applyBorder="1" applyAlignment="1">
      <alignment horizontal="center" vertical="center" wrapText="1"/>
    </xf>
    <xf numFmtId="164" fontId="29" fillId="0" borderId="58" xfId="1" applyNumberFormat="1" applyFont="1" applyBorder="1" applyAlignment="1">
      <alignment horizontal="center" vertical="center" wrapText="1"/>
    </xf>
    <xf numFmtId="0" fontId="35" fillId="0" borderId="9" xfId="0" applyFont="1" applyBorder="1" applyAlignment="1">
      <alignment horizontal="center" vertical="center"/>
    </xf>
    <xf numFmtId="164" fontId="35" fillId="0" borderId="9" xfId="0" applyNumberFormat="1" applyFont="1" applyBorder="1" applyAlignment="1">
      <alignment horizontal="center" vertical="center"/>
    </xf>
    <xf numFmtId="0" fontId="52" fillId="0" borderId="9" xfId="0" applyFont="1" applyBorder="1" applyAlignment="1">
      <alignment horizontal="center" vertical="center" wrapText="1"/>
    </xf>
    <xf numFmtId="0" fontId="35" fillId="0" borderId="50" xfId="0" applyFont="1" applyBorder="1" applyAlignment="1">
      <alignment horizontal="center" vertical="center"/>
    </xf>
    <xf numFmtId="0" fontId="35" fillId="0" borderId="10" xfId="0" applyFont="1" applyBorder="1" applyAlignment="1">
      <alignment horizontal="center" vertical="center"/>
    </xf>
    <xf numFmtId="0" fontId="35" fillId="0" borderId="43" xfId="0" applyFont="1" applyBorder="1" applyAlignment="1">
      <alignment horizontal="center" vertical="center"/>
    </xf>
    <xf numFmtId="164" fontId="35" fillId="0" borderId="50" xfId="0" applyNumberFormat="1" applyFont="1" applyBorder="1" applyAlignment="1">
      <alignment horizontal="center" vertical="center"/>
    </xf>
    <xf numFmtId="164" fontId="35" fillId="0" borderId="43" xfId="0" applyNumberFormat="1" applyFont="1" applyBorder="1" applyAlignment="1">
      <alignment horizontal="center" vertical="center"/>
    </xf>
    <xf numFmtId="3" fontId="35" fillId="0" borderId="9" xfId="0" applyNumberFormat="1" applyFont="1" applyBorder="1" applyAlignment="1">
      <alignment horizontal="center" vertical="center" wrapText="1"/>
    </xf>
    <xf numFmtId="0" fontId="34" fillId="0" borderId="2" xfId="0" applyFont="1" applyBorder="1" applyAlignment="1">
      <alignment horizontal="center" vertical="center"/>
    </xf>
    <xf numFmtId="14" fontId="35" fillId="0" borderId="9" xfId="0" applyNumberFormat="1" applyFont="1" applyBorder="1" applyAlignment="1">
      <alignment horizontal="center" vertical="center"/>
    </xf>
    <xf numFmtId="4" fontId="35" fillId="0" borderId="9" xfId="0" applyNumberFormat="1" applyFont="1" applyBorder="1" applyAlignment="1">
      <alignment horizontal="center" vertical="center" wrapText="1"/>
    </xf>
    <xf numFmtId="2" fontId="35" fillId="0" borderId="9" xfId="0" applyNumberFormat="1" applyFont="1" applyBorder="1" applyAlignment="1">
      <alignment horizontal="center" vertical="center"/>
    </xf>
    <xf numFmtId="0" fontId="30" fillId="0" borderId="0" xfId="0" applyFont="1" applyAlignment="1">
      <alignment horizontal="left" vertical="center"/>
    </xf>
    <xf numFmtId="0" fontId="31" fillId="0" borderId="0" xfId="0" applyFont="1" applyAlignment="1">
      <alignment horizontal="left" vertical="center"/>
    </xf>
    <xf numFmtId="0" fontId="31" fillId="0" borderId="0" xfId="0" applyFont="1" applyAlignment="1">
      <alignment horizontal="left" vertical="center" wrapText="1"/>
    </xf>
    <xf numFmtId="0" fontId="30" fillId="0" borderId="0" xfId="0" applyFont="1" applyAlignment="1">
      <alignment horizontal="left" vertical="center" wrapText="1"/>
    </xf>
    <xf numFmtId="0" fontId="30" fillId="0" borderId="0" xfId="0" applyFont="1" applyAlignment="1">
      <alignment horizontal="center" vertical="center"/>
    </xf>
    <xf numFmtId="0" fontId="41" fillId="0" borderId="6" xfId="0" applyFont="1" applyBorder="1" applyAlignment="1">
      <alignment horizontal="center" vertical="center" wrapText="1"/>
    </xf>
    <xf numFmtId="0" fontId="41" fillId="0" borderId="0" xfId="0" applyFont="1" applyAlignment="1">
      <alignment horizontal="center" vertical="center" wrapText="1"/>
    </xf>
    <xf numFmtId="0" fontId="31" fillId="0" borderId="0" xfId="0" applyFont="1" applyAlignment="1">
      <alignment horizontal="center" vertical="center"/>
    </xf>
    <xf numFmtId="0" fontId="30" fillId="0" borderId="19" xfId="0" applyFont="1" applyBorder="1" applyAlignment="1">
      <alignment horizontal="center" vertical="center" wrapText="1"/>
    </xf>
    <xf numFmtId="0" fontId="30" fillId="0" borderId="20" xfId="0" applyFont="1" applyBorder="1" applyAlignment="1">
      <alignment horizontal="center" vertical="center"/>
    </xf>
    <xf numFmtId="0" fontId="30" fillId="0" borderId="21" xfId="0" applyFont="1" applyBorder="1" applyAlignment="1">
      <alignment horizontal="center" vertical="center"/>
    </xf>
    <xf numFmtId="0" fontId="35" fillId="0" borderId="0" xfId="0" applyFont="1" applyAlignment="1">
      <alignment horizontal="center" vertical="center"/>
    </xf>
    <xf numFmtId="166" fontId="50" fillId="0" borderId="2" xfId="0" applyNumberFormat="1" applyFont="1" applyBorder="1" applyAlignment="1">
      <alignment horizontal="center" vertical="center"/>
    </xf>
    <xf numFmtId="0" fontId="50" fillId="0" borderId="2" xfId="0" applyFont="1" applyBorder="1" applyAlignment="1">
      <alignment horizontal="center" vertical="center"/>
    </xf>
    <xf numFmtId="0" fontId="50" fillId="0" borderId="50" xfId="0" applyFont="1" applyBorder="1" applyAlignment="1">
      <alignment horizontal="center" vertical="center"/>
    </xf>
    <xf numFmtId="0" fontId="50" fillId="0" borderId="43" xfId="0" applyFont="1" applyBorder="1" applyAlignment="1">
      <alignment horizontal="center" vertical="center"/>
    </xf>
    <xf numFmtId="0" fontId="32" fillId="0" borderId="13" xfId="0" applyFont="1" applyBorder="1" applyAlignment="1">
      <alignment horizontal="center" vertical="center"/>
    </xf>
    <xf numFmtId="0" fontId="36" fillId="0" borderId="8" xfId="0" applyFont="1" applyBorder="1" applyAlignment="1">
      <alignment horizontal="center" vertical="center"/>
    </xf>
    <xf numFmtId="0" fontId="50" fillId="0" borderId="5" xfId="0" quotePrefix="1" applyFont="1" applyBorder="1" applyAlignment="1">
      <alignment horizontal="left" vertical="center" wrapText="1"/>
    </xf>
    <xf numFmtId="0" fontId="50" fillId="0" borderId="6" xfId="0" quotePrefix="1" applyFont="1" applyBorder="1" applyAlignment="1">
      <alignment horizontal="left" vertical="center" wrapText="1"/>
    </xf>
    <xf numFmtId="0" fontId="50" fillId="0" borderId="11" xfId="0" quotePrefix="1" applyFont="1" applyBorder="1" applyAlignment="1">
      <alignment horizontal="left" vertical="center" wrapText="1"/>
    </xf>
    <xf numFmtId="0" fontId="50" fillId="0" borderId="3" xfId="0" quotePrefix="1" applyFont="1" applyBorder="1" applyAlignment="1">
      <alignment horizontal="left" vertical="center" wrapText="1"/>
    </xf>
    <xf numFmtId="0" fontId="50" fillId="0" borderId="0" xfId="0" quotePrefix="1" applyFont="1" applyAlignment="1">
      <alignment horizontal="left" vertical="center" wrapText="1"/>
    </xf>
    <xf numFmtId="0" fontId="50" fillId="0" borderId="4" xfId="0" quotePrefix="1" applyFont="1" applyBorder="1" applyAlignment="1">
      <alignment horizontal="left" vertical="center" wrapText="1"/>
    </xf>
    <xf numFmtId="0" fontId="36" fillId="0" borderId="3" xfId="0" applyFont="1" applyBorder="1" applyAlignment="1">
      <alignment horizontal="left" vertical="center"/>
    </xf>
    <xf numFmtId="0" fontId="36" fillId="0" borderId="0" xfId="0" applyFont="1" applyAlignment="1">
      <alignment horizontal="left" vertical="center"/>
    </xf>
    <xf numFmtId="0" fontId="36" fillId="0" borderId="4" xfId="0" applyFont="1" applyBorder="1" applyAlignment="1">
      <alignment horizontal="left" vertical="center"/>
    </xf>
    <xf numFmtId="0" fontId="36" fillId="0" borderId="8" xfId="0" applyFont="1" applyBorder="1" applyAlignment="1">
      <alignment horizontal="center" vertical="center" wrapText="1"/>
    </xf>
    <xf numFmtId="0" fontId="41" fillId="0" borderId="50" xfId="0" applyFont="1" applyBorder="1" applyAlignment="1">
      <alignment horizontal="center"/>
    </xf>
    <xf numFmtId="0" fontId="41" fillId="0" borderId="10" xfId="0" applyFont="1" applyBorder="1" applyAlignment="1">
      <alignment horizontal="center"/>
    </xf>
    <xf numFmtId="0" fontId="41" fillId="0" borderId="43" xfId="0" applyFont="1" applyBorder="1" applyAlignment="1">
      <alignment horizontal="center"/>
    </xf>
    <xf numFmtId="0" fontId="6" fillId="0" borderId="0" xfId="0" applyFont="1" applyAlignment="1">
      <alignment horizontal="center" vertical="center"/>
    </xf>
    <xf numFmtId="0" fontId="7" fillId="0" borderId="2" xfId="0" applyFont="1" applyBorder="1" applyAlignment="1">
      <alignment horizontal="center" vertical="center"/>
    </xf>
    <xf numFmtId="0" fontId="0" fillId="0" borderId="50" xfId="0" applyBorder="1" applyAlignment="1">
      <alignment horizontal="center"/>
    </xf>
    <xf numFmtId="0" fontId="0" fillId="0" borderId="10" xfId="0" applyBorder="1" applyAlignment="1">
      <alignment horizontal="center"/>
    </xf>
    <xf numFmtId="0" fontId="0" fillId="0" borderId="43" xfId="0" applyBorder="1" applyAlignment="1">
      <alignment horizontal="center"/>
    </xf>
    <xf numFmtId="0" fontId="35" fillId="0" borderId="2" xfId="0" applyFont="1" applyBorder="1" applyAlignment="1">
      <alignment horizontal="center" vertical="center"/>
    </xf>
    <xf numFmtId="164" fontId="35" fillId="0" borderId="2" xfId="0" applyNumberFormat="1" applyFont="1" applyBorder="1" applyAlignment="1">
      <alignment horizontal="center" vertical="center"/>
    </xf>
    <xf numFmtId="0" fontId="8" fillId="0" borderId="50" xfId="0" applyFont="1" applyBorder="1" applyAlignment="1">
      <alignment horizontal="center" vertical="center"/>
    </xf>
    <xf numFmtId="0" fontId="8" fillId="0" borderId="10" xfId="0" applyFont="1" applyBorder="1" applyAlignment="1">
      <alignment horizontal="center" vertical="center"/>
    </xf>
    <xf numFmtId="0" fontId="8" fillId="0" borderId="43" xfId="0" applyFont="1" applyBorder="1" applyAlignment="1">
      <alignment horizontal="center" vertical="center"/>
    </xf>
    <xf numFmtId="164" fontId="8" fillId="0" borderId="50" xfId="0" applyNumberFormat="1" applyFont="1" applyBorder="1" applyAlignment="1">
      <alignment horizontal="center" vertical="center"/>
    </xf>
    <xf numFmtId="164" fontId="8" fillId="0" borderId="43" xfId="0" applyNumberFormat="1" applyFont="1" applyBorder="1" applyAlignment="1">
      <alignment horizontal="center" vertical="center"/>
    </xf>
    <xf numFmtId="0" fontId="8" fillId="0" borderId="48" xfId="0" applyFont="1" applyBorder="1" applyAlignment="1">
      <alignment horizontal="center" vertical="center"/>
    </xf>
    <xf numFmtId="0" fontId="8" fillId="0" borderId="49" xfId="0" applyFont="1" applyBorder="1" applyAlignment="1">
      <alignment horizontal="center" vertical="center"/>
    </xf>
    <xf numFmtId="0" fontId="8" fillId="0" borderId="64" xfId="0" applyFont="1" applyBorder="1" applyAlignment="1">
      <alignment horizontal="center" vertical="center"/>
    </xf>
    <xf numFmtId="0" fontId="8" fillId="0" borderId="65" xfId="0" applyFont="1" applyBorder="1" applyAlignment="1">
      <alignment horizontal="center" vertical="center"/>
    </xf>
    <xf numFmtId="0" fontId="8" fillId="0" borderId="66" xfId="0" applyFont="1" applyBorder="1" applyAlignment="1">
      <alignment horizontal="center" vertical="center"/>
    </xf>
    <xf numFmtId="0" fontId="8" fillId="0" borderId="67" xfId="0" applyFont="1" applyBorder="1" applyAlignment="1">
      <alignment horizontal="center" vertical="center"/>
    </xf>
    <xf numFmtId="164" fontId="8" fillId="0" borderId="2" xfId="0" applyNumberFormat="1" applyFont="1" applyBorder="1" applyAlignment="1">
      <alignment horizontal="center" vertical="center" wrapText="1"/>
    </xf>
    <xf numFmtId="2" fontId="1" fillId="0" borderId="48" xfId="0" applyNumberFormat="1" applyFont="1" applyBorder="1" applyAlignment="1">
      <alignment horizontal="center" vertical="center"/>
    </xf>
    <xf numFmtId="2" fontId="1" fillId="0" borderId="49" xfId="0" applyNumberFormat="1" applyFont="1" applyBorder="1" applyAlignment="1">
      <alignment horizontal="center" vertical="center"/>
    </xf>
    <xf numFmtId="0" fontId="30" fillId="0" borderId="7" xfId="0" applyFont="1" applyBorder="1" applyAlignment="1">
      <alignment horizontal="center"/>
    </xf>
    <xf numFmtId="0" fontId="30" fillId="0" borderId="8" xfId="0" applyFont="1" applyBorder="1" applyAlignment="1">
      <alignment horizontal="center"/>
    </xf>
    <xf numFmtId="0" fontId="30" fillId="0" borderId="12" xfId="0" applyFont="1" applyBorder="1" applyAlignment="1">
      <alignment horizontal="center"/>
    </xf>
    <xf numFmtId="0" fontId="8" fillId="0" borderId="13" xfId="0" applyFont="1" applyBorder="1" applyAlignment="1">
      <alignment horizontal="center" vertical="center"/>
    </xf>
    <xf numFmtId="0" fontId="8" fillId="0" borderId="9" xfId="0" applyFont="1" applyBorder="1" applyAlignment="1">
      <alignment horizontal="center" vertical="center"/>
    </xf>
    <xf numFmtId="0" fontId="1" fillId="0" borderId="50" xfId="0" applyFont="1" applyBorder="1" applyAlignment="1">
      <alignment horizontal="center" vertical="center"/>
    </xf>
    <xf numFmtId="0" fontId="1" fillId="0" borderId="10" xfId="0" applyFont="1" applyBorder="1" applyAlignment="1">
      <alignment horizontal="center" vertical="center"/>
    </xf>
    <xf numFmtId="0" fontId="1" fillId="0" borderId="43" xfId="0" applyFont="1" applyBorder="1" applyAlignment="1">
      <alignment horizontal="center" vertical="center"/>
    </xf>
    <xf numFmtId="0" fontId="8" fillId="0" borderId="48" xfId="0" applyFont="1" applyBorder="1" applyAlignment="1">
      <alignment horizontal="center" vertical="center" wrapText="1"/>
    </xf>
    <xf numFmtId="0" fontId="8" fillId="0" borderId="49" xfId="0" applyFont="1" applyBorder="1" applyAlignment="1">
      <alignment horizontal="center" vertical="center" wrapText="1"/>
    </xf>
    <xf numFmtId="0" fontId="41" fillId="0" borderId="2" xfId="0" applyFont="1" applyBorder="1" applyAlignment="1">
      <alignment horizontal="center"/>
    </xf>
    <xf numFmtId="0" fontId="41" fillId="0" borderId="2" xfId="0" applyFont="1" applyBorder="1" applyAlignment="1">
      <alignment horizontal="center" vertical="center"/>
    </xf>
    <xf numFmtId="0" fontId="0" fillId="6" borderId="2" xfId="0" applyFill="1" applyBorder="1" applyAlignment="1">
      <alignment horizontal="center" vertical="center"/>
    </xf>
    <xf numFmtId="0" fontId="5" fillId="0" borderId="5" xfId="0" applyFont="1" applyBorder="1" applyAlignment="1">
      <alignment horizontal="center" wrapText="1"/>
    </xf>
    <xf numFmtId="0" fontId="5" fillId="0" borderId="11" xfId="0" applyFont="1" applyBorder="1" applyAlignment="1">
      <alignment horizontal="center" wrapText="1"/>
    </xf>
    <xf numFmtId="0" fontId="5" fillId="0" borderId="3" xfId="0" applyFont="1" applyBorder="1" applyAlignment="1">
      <alignment horizontal="center" wrapText="1"/>
    </xf>
    <xf numFmtId="0" fontId="5" fillId="0" borderId="4" xfId="0" applyFont="1" applyBorder="1" applyAlignment="1">
      <alignment horizontal="center" wrapText="1"/>
    </xf>
    <xf numFmtId="0" fontId="5" fillId="0" borderId="7" xfId="0" applyFont="1" applyBorder="1" applyAlignment="1">
      <alignment horizontal="center" wrapText="1"/>
    </xf>
    <xf numFmtId="0" fontId="5" fillId="0" borderId="12" xfId="0" applyFont="1" applyBorder="1" applyAlignment="1">
      <alignment horizontal="center" wrapText="1"/>
    </xf>
    <xf numFmtId="0" fontId="24" fillId="0" borderId="2" xfId="0" applyFont="1" applyBorder="1" applyAlignment="1">
      <alignment horizontal="center"/>
    </xf>
    <xf numFmtId="0" fontId="0" fillId="5" borderId="2" xfId="0" applyFill="1" applyBorder="1" applyAlignment="1">
      <alignment horizontal="center"/>
    </xf>
    <xf numFmtId="0" fontId="0" fillId="0" borderId="2" xfId="0" applyBorder="1" applyAlignment="1">
      <alignment horizontal="center" vertical="center"/>
    </xf>
    <xf numFmtId="0" fontId="0" fillId="6" borderId="48" xfId="0" applyFill="1" applyBorder="1" applyAlignment="1">
      <alignment horizontal="center" vertical="center" wrapText="1"/>
    </xf>
    <xf numFmtId="0" fontId="0" fillId="6" borderId="49" xfId="0" applyFill="1" applyBorder="1" applyAlignment="1">
      <alignment horizontal="center" vertical="center" wrapText="1"/>
    </xf>
    <xf numFmtId="0" fontId="0" fillId="0" borderId="45" xfId="0" applyBorder="1" applyAlignment="1">
      <alignment horizontal="center" vertical="center"/>
    </xf>
    <xf numFmtId="0" fontId="0" fillId="0" borderId="43" xfId="0" applyBorder="1" applyAlignment="1">
      <alignment horizontal="center" vertical="center"/>
    </xf>
    <xf numFmtId="0" fontId="24" fillId="0" borderId="44" xfId="0" applyFont="1" applyBorder="1" applyAlignment="1">
      <alignment horizontal="center" vertical="center" wrapText="1"/>
    </xf>
    <xf numFmtId="0" fontId="24" fillId="0" borderId="46" xfId="0" applyFont="1" applyBorder="1" applyAlignment="1">
      <alignment horizontal="center" vertical="center" wrapText="1"/>
    </xf>
    <xf numFmtId="0" fontId="24" fillId="0" borderId="62" xfId="0" applyFont="1" applyBorder="1" applyAlignment="1">
      <alignment horizontal="center" vertical="center" wrapText="1"/>
    </xf>
    <xf numFmtId="0" fontId="0" fillId="0" borderId="52" xfId="0" applyBorder="1" applyAlignment="1">
      <alignment horizontal="center" vertical="center"/>
    </xf>
    <xf numFmtId="0" fontId="24" fillId="0" borderId="51" xfId="0" applyFont="1" applyBorder="1" applyAlignment="1">
      <alignment horizontal="center" vertical="center"/>
    </xf>
    <xf numFmtId="0" fontId="24" fillId="0" borderId="14" xfId="0" applyFont="1" applyBorder="1" applyAlignment="1">
      <alignment horizontal="center" vertical="center"/>
    </xf>
    <xf numFmtId="0" fontId="24" fillId="0" borderId="52" xfId="0" applyFont="1" applyBorder="1" applyAlignment="1">
      <alignment horizontal="center" vertical="center"/>
    </xf>
    <xf numFmtId="0" fontId="24" fillId="0" borderId="2" xfId="0" applyFont="1" applyBorder="1" applyAlignment="1">
      <alignment horizontal="center" vertical="center"/>
    </xf>
    <xf numFmtId="0" fontId="24" fillId="0" borderId="52"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53" xfId="0" applyFont="1" applyBorder="1" applyAlignment="1">
      <alignment horizontal="center" vertical="center" wrapText="1"/>
    </xf>
    <xf numFmtId="0" fontId="0" fillId="0" borderId="47" xfId="0" applyBorder="1" applyAlignment="1">
      <alignment horizontal="center" vertical="center"/>
    </xf>
    <xf numFmtId="0" fontId="0" fillId="0" borderId="13" xfId="0" applyBorder="1" applyAlignment="1">
      <alignment horizontal="center" vertical="center"/>
    </xf>
    <xf numFmtId="0" fontId="0" fillId="0" borderId="51" xfId="0" applyBorder="1" applyAlignment="1">
      <alignment horizontal="center" vertical="center"/>
    </xf>
    <xf numFmtId="0" fontId="0" fillId="0" borderId="14" xfId="0" applyBorder="1" applyAlignment="1">
      <alignment horizontal="center" vertical="center"/>
    </xf>
    <xf numFmtId="0" fontId="0" fillId="0" borderId="1" xfId="0" applyBorder="1" applyAlignment="1">
      <alignment horizontal="center" vertical="center"/>
    </xf>
    <xf numFmtId="0" fontId="0" fillId="0" borderId="53" xfId="0" applyBorder="1" applyAlignment="1">
      <alignment horizontal="center" vertical="center"/>
    </xf>
    <xf numFmtId="0" fontId="0" fillId="0" borderId="63" xfId="0" applyBorder="1" applyAlignment="1">
      <alignment horizontal="center" vertical="center"/>
    </xf>
    <xf numFmtId="0" fontId="0" fillId="0" borderId="48" xfId="0" applyBorder="1" applyAlignment="1">
      <alignment horizontal="center" vertical="center"/>
    </xf>
    <xf numFmtId="0" fontId="0" fillId="0" borderId="60" xfId="0" applyBorder="1" applyAlignment="1">
      <alignment horizontal="center" vertical="center"/>
    </xf>
    <xf numFmtId="0" fontId="0" fillId="0" borderId="49" xfId="0" applyBorder="1" applyAlignment="1">
      <alignment horizontal="center" vertical="center"/>
    </xf>
    <xf numFmtId="0" fontId="10" fillId="0" borderId="27" xfId="1" applyFont="1" applyBorder="1" applyAlignment="1">
      <alignment horizontal="justify" vertical="center" wrapText="1"/>
    </xf>
    <xf numFmtId="0" fontId="10" fillId="0" borderId="28" xfId="1" applyFont="1" applyBorder="1" applyAlignment="1">
      <alignment horizontal="justify" vertical="center" wrapText="1"/>
    </xf>
    <xf numFmtId="0" fontId="10" fillId="0" borderId="29" xfId="1" applyFont="1" applyBorder="1" applyAlignment="1">
      <alignment horizontal="justify" vertical="center" wrapText="1"/>
    </xf>
    <xf numFmtId="0" fontId="10" fillId="0" borderId="27" xfId="1" applyFont="1" applyBorder="1" applyAlignment="1">
      <alignment horizontal="center" vertical="center" wrapText="1"/>
    </xf>
    <xf numFmtId="0" fontId="10" fillId="0" borderId="29" xfId="1" applyFont="1" applyBorder="1" applyAlignment="1">
      <alignment horizontal="center" vertical="center" wrapText="1"/>
    </xf>
    <xf numFmtId="0" fontId="3" fillId="0" borderId="2" xfId="1" applyBorder="1" applyAlignment="1">
      <alignment horizontal="center"/>
    </xf>
    <xf numFmtId="0" fontId="11" fillId="0" borderId="2" xfId="1" applyFont="1" applyBorder="1" applyAlignment="1">
      <alignment horizontal="center" vertical="center" wrapText="1"/>
    </xf>
    <xf numFmtId="0" fontId="15" fillId="0" borderId="0" xfId="1" applyFont="1" applyAlignment="1">
      <alignment horizontal="center" vertical="center"/>
    </xf>
    <xf numFmtId="0" fontId="17" fillId="3" borderId="24" xfId="1" applyFont="1" applyFill="1" applyBorder="1" applyAlignment="1">
      <alignment horizontal="center" vertical="center" wrapText="1"/>
    </xf>
    <xf numFmtId="0" fontId="17" fillId="3" borderId="0" xfId="1" applyFont="1" applyFill="1" applyAlignment="1">
      <alignment horizontal="center" vertical="center" wrapText="1"/>
    </xf>
    <xf numFmtId="164" fontId="55" fillId="0" borderId="27" xfId="1" applyNumberFormat="1" applyFont="1" applyBorder="1" applyAlignment="1">
      <alignment horizontal="center" vertical="center" wrapText="1"/>
    </xf>
    <xf numFmtId="164" fontId="55" fillId="0" borderId="28" xfId="1" applyNumberFormat="1" applyFont="1" applyBorder="1" applyAlignment="1">
      <alignment horizontal="center" vertical="center" wrapText="1"/>
    </xf>
    <xf numFmtId="164" fontId="55" fillId="0" borderId="29" xfId="1" applyNumberFormat="1" applyFont="1" applyBorder="1" applyAlignment="1">
      <alignment horizontal="center" vertical="center" wrapText="1"/>
    </xf>
    <xf numFmtId="0" fontId="18" fillId="3" borderId="30" xfId="1" applyFont="1" applyFill="1" applyBorder="1" applyAlignment="1">
      <alignment horizontal="center" vertical="center" wrapText="1"/>
    </xf>
    <xf numFmtId="0" fontId="18" fillId="3" borderId="0" xfId="1" applyFont="1" applyFill="1" applyAlignment="1">
      <alignment horizontal="center" vertical="center" wrapText="1"/>
    </xf>
    <xf numFmtId="0" fontId="19" fillId="0" borderId="31" xfId="1" applyFont="1" applyBorder="1" applyAlignment="1">
      <alignment horizontal="center" vertical="center" wrapText="1"/>
    </xf>
    <xf numFmtId="0" fontId="19" fillId="0" borderId="32" xfId="1" applyFont="1" applyBorder="1" applyAlignment="1">
      <alignment horizontal="center" vertical="center" wrapText="1"/>
    </xf>
    <xf numFmtId="0" fontId="19" fillId="0" borderId="33" xfId="1" applyFont="1" applyBorder="1" applyAlignment="1">
      <alignment horizontal="center" vertical="center" wrapText="1"/>
    </xf>
    <xf numFmtId="0" fontId="19" fillId="0" borderId="34" xfId="1" applyFont="1" applyBorder="1" applyAlignment="1">
      <alignment horizontal="center" vertical="center" wrapText="1"/>
    </xf>
    <xf numFmtId="0" fontId="20" fillId="0" borderId="31" xfId="1" applyFont="1" applyBorder="1" applyAlignment="1">
      <alignment horizontal="center" vertical="center" wrapText="1"/>
    </xf>
    <xf numFmtId="0" fontId="20" fillId="0" borderId="32" xfId="1" applyFont="1" applyBorder="1" applyAlignment="1">
      <alignment horizontal="center" vertical="center" wrapText="1"/>
    </xf>
    <xf numFmtId="0" fontId="20" fillId="0" borderId="33" xfId="1" applyFont="1" applyBorder="1" applyAlignment="1">
      <alignment horizontal="center" vertical="center" wrapText="1"/>
    </xf>
    <xf numFmtId="0" fontId="20" fillId="0" borderId="34" xfId="1" applyFont="1" applyBorder="1" applyAlignment="1">
      <alignment horizontal="center" vertical="center" wrapText="1"/>
    </xf>
    <xf numFmtId="0" fontId="20" fillId="0" borderId="35" xfId="1" applyFont="1" applyBorder="1" applyAlignment="1">
      <alignment horizontal="center" vertical="center" wrapText="1"/>
    </xf>
    <xf numFmtId="0" fontId="20" fillId="0" borderId="36" xfId="1" applyFont="1" applyBorder="1" applyAlignment="1">
      <alignment horizontal="center" vertical="center" wrapText="1"/>
    </xf>
    <xf numFmtId="0" fontId="20" fillId="0" borderId="37" xfId="1" applyFont="1" applyBorder="1" applyAlignment="1">
      <alignment horizontal="center" vertical="center" wrapText="1"/>
    </xf>
    <xf numFmtId="0" fontId="55" fillId="0" borderId="27" xfId="1" applyFont="1" applyBorder="1" applyAlignment="1">
      <alignment horizontal="center" vertical="center" wrapText="1"/>
    </xf>
    <xf numFmtId="0" fontId="55" fillId="0" borderId="28" xfId="1" applyFont="1" applyBorder="1" applyAlignment="1">
      <alignment horizontal="center" vertical="center" wrapText="1"/>
    </xf>
    <xf numFmtId="0" fontId="55" fillId="0" borderId="29" xfId="1" applyFont="1" applyBorder="1" applyAlignment="1">
      <alignment horizontal="center" vertical="center" wrapText="1"/>
    </xf>
  </cellXfs>
  <cellStyles count="3">
    <cellStyle name="Normal" xfId="0" builtinId="0"/>
    <cellStyle name="Normal 2 2" xfId="1" xr:uid="{53711B37-14E3-4A6C-9C19-AEAFCECA7ABA}"/>
    <cellStyle name="Porcentaje" xfId="2" builtinId="5"/>
  </cellStyles>
  <dxfs count="0"/>
  <tableStyles count="0" defaultTableStyle="TableStyleMedium9" defaultPivotStyle="PivotStyleLight16"/>
  <colors>
    <mruColors>
      <color rgb="FF0066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Escape válvula</c:v>
          </c:tx>
          <c:spPr>
            <a:ln w="25400" cap="rnd">
              <a:noFill/>
              <a:round/>
            </a:ln>
            <a:effectLst/>
          </c:spPr>
          <c:marker>
            <c:symbol val="circle"/>
            <c:size val="3"/>
            <c:spPr>
              <a:solidFill>
                <a:schemeClr val="accent1"/>
              </a:solidFill>
              <a:ln w="9525">
                <a:solidFill>
                  <a:schemeClr val="accent1"/>
                </a:solidFill>
              </a:ln>
              <a:effectLst/>
            </c:spPr>
          </c:marker>
          <c:errBars>
            <c:errDir val="y"/>
            <c:errBarType val="both"/>
            <c:errValType val="cust"/>
            <c:noEndCap val="0"/>
            <c:plus>
              <c:numRef>
                <c:f>'DATOS INCERTIDUMBRE'!$N$5:$N$7</c:f>
                <c:numCache>
                  <c:formatCode>General</c:formatCode>
                  <c:ptCount val="3"/>
                  <c:pt idx="0">
                    <c:v>0</c:v>
                  </c:pt>
                  <c:pt idx="1">
                    <c:v>0</c:v>
                  </c:pt>
                  <c:pt idx="2">
                    <c:v>0</c:v>
                  </c:pt>
                </c:numCache>
              </c:numRef>
            </c:plus>
            <c:minus>
              <c:numRef>
                <c:f>'DATOS INCERTIDUMBRE'!$N$5:$N$7</c:f>
                <c:numCache>
                  <c:formatCode>General</c:formatCode>
                  <c:ptCount val="3"/>
                  <c:pt idx="0">
                    <c:v>0</c:v>
                  </c:pt>
                  <c:pt idx="1">
                    <c:v>0</c:v>
                  </c:pt>
                  <c:pt idx="2">
                    <c:v>0</c:v>
                  </c:pt>
                </c:numCache>
              </c:numRef>
            </c:minus>
            <c:spPr>
              <a:noFill/>
              <a:ln w="9525" cap="flat" cmpd="sng" algn="ctr">
                <a:solidFill>
                  <a:schemeClr val="tx1">
                    <a:lumMod val="65000"/>
                    <a:lumOff val="35000"/>
                  </a:schemeClr>
                </a:solidFill>
                <a:round/>
              </a:ln>
              <a:effectLst/>
            </c:spPr>
          </c:errBars>
          <c:xVal>
            <c:numRef>
              <c:f>'DATOS INCERTIDUMBRE'!$B$11:$B$13</c:f>
              <c:numCache>
                <c:formatCode>General</c:formatCode>
                <c:ptCount val="3"/>
                <c:pt idx="0">
                  <c:v>1</c:v>
                </c:pt>
                <c:pt idx="1">
                  <c:v>2</c:v>
                </c:pt>
                <c:pt idx="2">
                  <c:v>3</c:v>
                </c:pt>
              </c:numCache>
            </c:numRef>
          </c:xVal>
          <c:yVal>
            <c:numRef>
              <c:f>'DATOS INCERTIDUMBRE'!$D$11:$D$13</c:f>
              <c:numCache>
                <c:formatCode>0.0</c:formatCode>
                <c:ptCount val="3"/>
                <c:pt idx="0">
                  <c:v>0</c:v>
                </c:pt>
                <c:pt idx="1">
                  <c:v>0</c:v>
                </c:pt>
                <c:pt idx="2">
                  <c:v>0</c:v>
                </c:pt>
              </c:numCache>
            </c:numRef>
          </c:yVal>
          <c:smooth val="0"/>
          <c:extLst>
            <c:ext xmlns:c16="http://schemas.microsoft.com/office/drawing/2014/chart" uri="{C3380CC4-5D6E-409C-BE32-E72D297353CC}">
              <c16:uniqueId val="{00000000-DA80-4C25-AC00-C7E9CB648345}"/>
            </c:ext>
          </c:extLst>
        </c:ser>
        <c:ser>
          <c:idx val="1"/>
          <c:order val="1"/>
          <c:tx>
            <c:v>Error máximo permitido</c:v>
          </c:tx>
          <c:spPr>
            <a:ln w="25400" cap="rnd">
              <a:solidFill>
                <a:srgbClr val="FF0000"/>
              </a:solidFill>
              <a:prstDash val="sysDash"/>
              <a:round/>
            </a:ln>
            <a:effectLst/>
          </c:spPr>
          <c:marker>
            <c:symbol val="circle"/>
            <c:size val="5"/>
            <c:spPr>
              <a:noFill/>
              <a:ln w="9525">
                <a:noFill/>
              </a:ln>
              <a:effectLst/>
            </c:spPr>
          </c:marker>
          <c:xVal>
            <c:numRef>
              <c:f>'DATOS INCERTIDUMBRE'!$L$4:$L$8</c:f>
              <c:numCache>
                <c:formatCode>General</c:formatCode>
                <c:ptCount val="5"/>
                <c:pt idx="0">
                  <c:v>0</c:v>
                </c:pt>
                <c:pt idx="1">
                  <c:v>1</c:v>
                </c:pt>
                <c:pt idx="2">
                  <c:v>2</c:v>
                </c:pt>
                <c:pt idx="3">
                  <c:v>3</c:v>
                </c:pt>
                <c:pt idx="4">
                  <c:v>4</c:v>
                </c:pt>
              </c:numCache>
            </c:numRef>
          </c:xVal>
          <c:yVal>
            <c:numRef>
              <c:f>'DATOS INCERTIDUMBRE'!$O$4:$O$8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DA80-4C25-AC00-C7E9CB648345}"/>
            </c:ext>
          </c:extLst>
        </c:ser>
        <c:ser>
          <c:idx val="2"/>
          <c:order val="2"/>
          <c:tx>
            <c:v>Error mínimo permitido</c:v>
          </c:tx>
          <c:spPr>
            <a:ln w="25400" cap="rnd">
              <a:solidFill>
                <a:srgbClr val="FF0000"/>
              </a:solidFill>
              <a:prstDash val="sysDash"/>
              <a:round/>
            </a:ln>
            <a:effectLst/>
          </c:spPr>
          <c:marker>
            <c:symbol val="circle"/>
            <c:size val="5"/>
            <c:spPr>
              <a:noFill/>
              <a:ln w="9525">
                <a:noFill/>
              </a:ln>
              <a:effectLst/>
            </c:spPr>
          </c:marker>
          <c:xVal>
            <c:numRef>
              <c:f>'DATOS INCERTIDUMBRE'!$L$4:$L$8</c:f>
              <c:numCache>
                <c:formatCode>General</c:formatCode>
                <c:ptCount val="5"/>
                <c:pt idx="0">
                  <c:v>0</c:v>
                </c:pt>
                <c:pt idx="1">
                  <c:v>1</c:v>
                </c:pt>
                <c:pt idx="2">
                  <c:v>2</c:v>
                </c:pt>
                <c:pt idx="3">
                  <c:v>3</c:v>
                </c:pt>
                <c:pt idx="4">
                  <c:v>4</c:v>
                </c:pt>
              </c:numCache>
            </c:numRef>
          </c:xVal>
          <c:yVal>
            <c:numRef>
              <c:f>'DATOS INCERTIDUMBRE'!$P$4:$P$8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2-DA80-4C25-AC00-C7E9CB648345}"/>
            </c:ext>
          </c:extLst>
        </c:ser>
        <c:dLbls>
          <c:showLegendKey val="0"/>
          <c:showVal val="0"/>
          <c:showCatName val="0"/>
          <c:showSerName val="0"/>
          <c:showPercent val="0"/>
          <c:showBubbleSize val="0"/>
        </c:dLbls>
        <c:axId val="1987633599"/>
        <c:axId val="1987634559"/>
      </c:scatterChart>
      <c:valAx>
        <c:axId val="1987633599"/>
        <c:scaling>
          <c:orientation val="minMax"/>
          <c:max val="4"/>
          <c:min val="0"/>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Repetición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out"/>
        <c:minorTickMark val="none"/>
        <c:tickLblPos val="nextTo"/>
        <c:crossAx val="1987634559"/>
        <c:crosses val="autoZero"/>
        <c:crossBetween val="midCat"/>
      </c:valAx>
      <c:valAx>
        <c:axId val="1987634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Presión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7633599"/>
        <c:crosses val="autoZero"/>
        <c:crossBetween val="midCat"/>
        <c:majorUnit val="5"/>
      </c:valAx>
      <c:spPr>
        <a:noFill/>
        <a:ln>
          <a:noFill/>
        </a:ln>
        <a:effectLst/>
      </c:spPr>
    </c:plotArea>
    <c:legend>
      <c:legendPos val="b"/>
      <c:legendEntry>
        <c:idx val="2"/>
        <c:delete val="1"/>
      </c:legendEntry>
      <c:layout>
        <c:manualLayout>
          <c:xMode val="edge"/>
          <c:yMode val="edge"/>
          <c:x val="0.12148996777220135"/>
          <c:y val="0.87623947322884577"/>
          <c:w val="0.84901305510557168"/>
          <c:h val="6.55204946825780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jpeg"/><Relationship Id="rId1" Type="http://schemas.openxmlformats.org/officeDocument/2006/relationships/image" Target="../media/image13.png"/><Relationship Id="rId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editAs="oneCell">
    <xdr:from>
      <xdr:col>6</xdr:col>
      <xdr:colOff>640467</xdr:colOff>
      <xdr:row>82</xdr:row>
      <xdr:rowOff>181530</xdr:rowOff>
    </xdr:from>
    <xdr:to>
      <xdr:col>9</xdr:col>
      <xdr:colOff>657630</xdr:colOff>
      <xdr:row>86</xdr:row>
      <xdr:rowOff>172659</xdr:rowOff>
    </xdr:to>
    <xdr:pic>
      <xdr:nvPicPr>
        <xdr:cNvPr id="7" name="Picture 4">
          <a:extLst>
            <a:ext uri="{FF2B5EF4-FFF2-40B4-BE49-F238E27FC236}">
              <a16:creationId xmlns:a16="http://schemas.microsoft.com/office/drawing/2014/main" id="{B0BBCA0F-F8AD-4C85-A341-45CCE39B59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29641" y="17649552"/>
          <a:ext cx="1524598" cy="720000"/>
        </a:xfrm>
        <a:prstGeom prst="rect">
          <a:avLst/>
        </a:prstGeom>
      </xdr:spPr>
    </xdr:pic>
    <xdr:clientData/>
  </xdr:twoCellAnchor>
  <xdr:twoCellAnchor editAs="oneCell">
    <xdr:from>
      <xdr:col>6</xdr:col>
      <xdr:colOff>159921</xdr:colOff>
      <xdr:row>78</xdr:row>
      <xdr:rowOff>9437</xdr:rowOff>
    </xdr:from>
    <xdr:to>
      <xdr:col>8</xdr:col>
      <xdr:colOff>14422</xdr:colOff>
      <xdr:row>82</xdr:row>
      <xdr:rowOff>568</xdr:rowOff>
    </xdr:to>
    <xdr:pic>
      <xdr:nvPicPr>
        <xdr:cNvPr id="10" name="Picture 6">
          <a:extLst>
            <a:ext uri="{FF2B5EF4-FFF2-40B4-BE49-F238E27FC236}">
              <a16:creationId xmlns:a16="http://schemas.microsoft.com/office/drawing/2014/main" id="{3FB9F588-4257-4EE7-B1E1-42E3C4E379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49095" y="16748589"/>
          <a:ext cx="1196284" cy="720000"/>
        </a:xfrm>
        <a:prstGeom prst="rect">
          <a:avLst/>
        </a:prstGeom>
      </xdr:spPr>
    </xdr:pic>
    <xdr:clientData/>
  </xdr:twoCellAnchor>
  <xdr:twoCellAnchor editAs="oneCell">
    <xdr:from>
      <xdr:col>2</xdr:col>
      <xdr:colOff>328493</xdr:colOff>
      <xdr:row>83</xdr:row>
      <xdr:rowOff>23713</xdr:rowOff>
    </xdr:from>
    <xdr:to>
      <xdr:col>3</xdr:col>
      <xdr:colOff>224753</xdr:colOff>
      <xdr:row>87</xdr:row>
      <xdr:rowOff>14843</xdr:rowOff>
    </xdr:to>
    <xdr:pic>
      <xdr:nvPicPr>
        <xdr:cNvPr id="11" name="Imagen 10">
          <a:extLst>
            <a:ext uri="{FF2B5EF4-FFF2-40B4-BE49-F238E27FC236}">
              <a16:creationId xmlns:a16="http://schemas.microsoft.com/office/drawing/2014/main" id="{A926F1B8-45CD-4631-B76D-120B9A52C7A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59189" y="17673952"/>
          <a:ext cx="1296021" cy="720000"/>
        </a:xfrm>
        <a:prstGeom prst="rect">
          <a:avLst/>
        </a:prstGeom>
      </xdr:spPr>
    </xdr:pic>
    <xdr:clientData/>
  </xdr:twoCellAnchor>
  <xdr:twoCellAnchor editAs="oneCell">
    <xdr:from>
      <xdr:col>2</xdr:col>
      <xdr:colOff>0</xdr:colOff>
      <xdr:row>78</xdr:row>
      <xdr:rowOff>9647</xdr:rowOff>
    </xdr:from>
    <xdr:to>
      <xdr:col>2</xdr:col>
      <xdr:colOff>698105</xdr:colOff>
      <xdr:row>82</xdr:row>
      <xdr:rowOff>778</xdr:rowOff>
    </xdr:to>
    <xdr:pic>
      <xdr:nvPicPr>
        <xdr:cNvPr id="12" name="Imagen 11">
          <a:extLst>
            <a:ext uri="{FF2B5EF4-FFF2-40B4-BE49-F238E27FC236}">
              <a16:creationId xmlns:a16="http://schemas.microsoft.com/office/drawing/2014/main" id="{6FF485A6-FA96-4412-81AB-747458CF084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30696" y="16748799"/>
          <a:ext cx="698105" cy="720000"/>
        </a:xfrm>
        <a:prstGeom prst="rect">
          <a:avLst/>
        </a:prstGeom>
      </xdr:spPr>
    </xdr:pic>
    <xdr:clientData/>
  </xdr:twoCellAnchor>
  <xdr:twoCellAnchor editAs="oneCell">
    <xdr:from>
      <xdr:col>2</xdr:col>
      <xdr:colOff>948190</xdr:colOff>
      <xdr:row>78</xdr:row>
      <xdr:rowOff>634</xdr:rowOff>
    </xdr:from>
    <xdr:to>
      <xdr:col>4</xdr:col>
      <xdr:colOff>473341</xdr:colOff>
      <xdr:row>81</xdr:row>
      <xdr:rowOff>173982</xdr:rowOff>
    </xdr:to>
    <xdr:pic>
      <xdr:nvPicPr>
        <xdr:cNvPr id="13" name="Imagen 12">
          <a:extLst>
            <a:ext uri="{FF2B5EF4-FFF2-40B4-BE49-F238E27FC236}">
              <a16:creationId xmlns:a16="http://schemas.microsoft.com/office/drawing/2014/main" id="{2EA36829-D4F9-4D39-B20C-6B98A2CAFF4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78886" y="16739786"/>
          <a:ext cx="2018216" cy="720000"/>
        </a:xfrm>
        <a:prstGeom prst="rect">
          <a:avLst/>
        </a:prstGeom>
      </xdr:spPr>
    </xdr:pic>
    <xdr:clientData/>
  </xdr:twoCellAnchor>
  <xdr:twoCellAnchor editAs="oneCell">
    <xdr:from>
      <xdr:col>3</xdr:col>
      <xdr:colOff>450642</xdr:colOff>
      <xdr:row>83</xdr:row>
      <xdr:rowOff>10979</xdr:rowOff>
    </xdr:from>
    <xdr:to>
      <xdr:col>6</xdr:col>
      <xdr:colOff>374040</xdr:colOff>
      <xdr:row>87</xdr:row>
      <xdr:rowOff>2109</xdr:rowOff>
    </xdr:to>
    <xdr:pic>
      <xdr:nvPicPr>
        <xdr:cNvPr id="14" name="Imagen 13">
          <a:extLst>
            <a:ext uri="{FF2B5EF4-FFF2-40B4-BE49-F238E27FC236}">
              <a16:creationId xmlns:a16="http://schemas.microsoft.com/office/drawing/2014/main" id="{DF99E87F-485A-45BA-AF63-8D20C0C434F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281099" y="17661218"/>
          <a:ext cx="2582115" cy="720000"/>
        </a:xfrm>
        <a:prstGeom prst="rect">
          <a:avLst/>
        </a:prstGeom>
      </xdr:spPr>
    </xdr:pic>
    <xdr:clientData/>
  </xdr:twoCellAnchor>
  <xdr:twoCellAnchor editAs="oneCell">
    <xdr:from>
      <xdr:col>5</xdr:col>
      <xdr:colOff>65399</xdr:colOff>
      <xdr:row>78</xdr:row>
      <xdr:rowOff>0</xdr:rowOff>
    </xdr:from>
    <xdr:to>
      <xdr:col>6</xdr:col>
      <xdr:colOff>14720</xdr:colOff>
      <xdr:row>81</xdr:row>
      <xdr:rowOff>173348</xdr:rowOff>
    </xdr:to>
    <xdr:pic>
      <xdr:nvPicPr>
        <xdr:cNvPr id="15" name="Imagen 14">
          <a:extLst>
            <a:ext uri="{FF2B5EF4-FFF2-40B4-BE49-F238E27FC236}">
              <a16:creationId xmlns:a16="http://schemas.microsoft.com/office/drawing/2014/main" id="{4774CC06-9CB1-4E71-A6F4-F2E9F443FA1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709747" y="16739152"/>
          <a:ext cx="794147" cy="720000"/>
        </a:xfrm>
        <a:prstGeom prst="rect">
          <a:avLst/>
        </a:prstGeom>
      </xdr:spPr>
    </xdr:pic>
    <xdr:clientData/>
  </xdr:twoCellAnchor>
  <xdr:twoCellAnchor editAs="oneCell">
    <xdr:from>
      <xdr:col>8</xdr:col>
      <xdr:colOff>158934</xdr:colOff>
      <xdr:row>78</xdr:row>
      <xdr:rowOff>12519</xdr:rowOff>
    </xdr:from>
    <xdr:to>
      <xdr:col>10</xdr:col>
      <xdr:colOff>1444264</xdr:colOff>
      <xdr:row>82</xdr:row>
      <xdr:rowOff>3650</xdr:rowOff>
    </xdr:to>
    <xdr:pic>
      <xdr:nvPicPr>
        <xdr:cNvPr id="3" name="Imagen 2">
          <a:extLst>
            <a:ext uri="{FF2B5EF4-FFF2-40B4-BE49-F238E27FC236}">
              <a16:creationId xmlns:a16="http://schemas.microsoft.com/office/drawing/2014/main" id="{C22A851B-427D-4784-6621-97DD631F02E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6200000">
          <a:off x="6763405" y="15978157"/>
          <a:ext cx="720000" cy="2267028"/>
        </a:xfrm>
        <a:prstGeom prst="rect">
          <a:avLst/>
        </a:prstGeom>
      </xdr:spPr>
    </xdr:pic>
    <xdr:clientData/>
  </xdr:twoCellAnchor>
  <xdr:twoCellAnchor editAs="oneCell">
    <xdr:from>
      <xdr:col>2</xdr:col>
      <xdr:colOff>58882</xdr:colOff>
      <xdr:row>0</xdr:row>
      <xdr:rowOff>0</xdr:rowOff>
    </xdr:from>
    <xdr:to>
      <xdr:col>3</xdr:col>
      <xdr:colOff>867988</xdr:colOff>
      <xdr:row>3</xdr:row>
      <xdr:rowOff>38100</xdr:rowOff>
    </xdr:to>
    <xdr:pic>
      <xdr:nvPicPr>
        <xdr:cNvPr id="5" name="Gráfico 4">
          <a:extLst>
            <a:ext uri="{FF2B5EF4-FFF2-40B4-BE49-F238E27FC236}">
              <a16:creationId xmlns:a16="http://schemas.microsoft.com/office/drawing/2014/main" id="{CF1BD98D-4219-E7C4-185A-ACD96B31C85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88373" y="0"/>
          <a:ext cx="2211879" cy="838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337625</xdr:colOff>
      <xdr:row>16</xdr:row>
      <xdr:rowOff>126405</xdr:rowOff>
    </xdr:from>
    <xdr:to>
      <xdr:col>18</xdr:col>
      <xdr:colOff>501748</xdr:colOff>
      <xdr:row>36</xdr:row>
      <xdr:rowOff>118012</xdr:rowOff>
    </xdr:to>
    <xdr:graphicFrame macro="">
      <xdr:nvGraphicFramePr>
        <xdr:cNvPr id="2" name="Gráfico 1">
          <a:extLst>
            <a:ext uri="{FF2B5EF4-FFF2-40B4-BE49-F238E27FC236}">
              <a16:creationId xmlns:a16="http://schemas.microsoft.com/office/drawing/2014/main" id="{375ED017-6454-4936-92BC-832D8472A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485776</xdr:colOff>
      <xdr:row>0</xdr:row>
      <xdr:rowOff>104775</xdr:rowOff>
    </xdr:from>
    <xdr:ext cx="1476374" cy="766091"/>
    <xdr:pic>
      <xdr:nvPicPr>
        <xdr:cNvPr id="2" name="Imagen 1" descr="logo VALSER FINAL png..png">
          <a:extLst>
            <a:ext uri="{FF2B5EF4-FFF2-40B4-BE49-F238E27FC236}">
              <a16:creationId xmlns:a16="http://schemas.microsoft.com/office/drawing/2014/main" id="{BF3574D5-AEEF-4676-9E2E-5AD623B28E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6" y="104775"/>
          <a:ext cx="1476374" cy="76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228600</xdr:colOff>
      <xdr:row>22</xdr:row>
      <xdr:rowOff>95250</xdr:rowOff>
    </xdr:from>
    <xdr:ext cx="1078865" cy="534670"/>
    <xdr:pic>
      <xdr:nvPicPr>
        <xdr:cNvPr id="3" name="Imagen 2">
          <a:extLst>
            <a:ext uri="{FF2B5EF4-FFF2-40B4-BE49-F238E27FC236}">
              <a16:creationId xmlns:a16="http://schemas.microsoft.com/office/drawing/2014/main" id="{EA79919D-A7D6-4F9F-9168-7E69C106493B}"/>
            </a:ext>
          </a:extLst>
        </xdr:cNvPr>
        <xdr:cNvPicPr>
          <a:picLocks noChangeAspect="1"/>
        </xdr:cNvPicPr>
      </xdr:nvPicPr>
      <xdr:blipFill>
        <a:blip xmlns:r="http://schemas.openxmlformats.org/officeDocument/2006/relationships" r:embed="rId2" cstate="print"/>
        <a:stretch>
          <a:fillRect/>
        </a:stretch>
      </xdr:blipFill>
      <xdr:spPr>
        <a:xfrm>
          <a:off x="7477125" y="4629150"/>
          <a:ext cx="1078865" cy="534670"/>
        </a:xfrm>
        <a:prstGeom prst="rect">
          <a:avLst/>
        </a:prstGeom>
      </xdr:spPr>
    </xdr:pic>
    <xdr:clientData/>
  </xdr:oneCellAnchor>
  <xdr:oneCellAnchor>
    <xdr:from>
      <xdr:col>6</xdr:col>
      <xdr:colOff>228600</xdr:colOff>
      <xdr:row>22</xdr:row>
      <xdr:rowOff>95250</xdr:rowOff>
    </xdr:from>
    <xdr:ext cx="1078865" cy="534670"/>
    <xdr:pic>
      <xdr:nvPicPr>
        <xdr:cNvPr id="6" name="Imagen 5">
          <a:extLst>
            <a:ext uri="{FF2B5EF4-FFF2-40B4-BE49-F238E27FC236}">
              <a16:creationId xmlns:a16="http://schemas.microsoft.com/office/drawing/2014/main" id="{3376F3DC-1BB1-4691-9385-99E012E59E0A}"/>
            </a:ext>
          </a:extLst>
        </xdr:cNvPr>
        <xdr:cNvPicPr>
          <a:picLocks noChangeAspect="1"/>
        </xdr:cNvPicPr>
      </xdr:nvPicPr>
      <xdr:blipFill>
        <a:blip xmlns:r="http://schemas.openxmlformats.org/officeDocument/2006/relationships" r:embed="rId2" cstate="print"/>
        <a:stretch>
          <a:fillRect/>
        </a:stretch>
      </xdr:blipFill>
      <xdr:spPr>
        <a:xfrm>
          <a:off x="7477125" y="4629150"/>
          <a:ext cx="1078865" cy="534670"/>
        </a:xfrm>
        <a:prstGeom prst="rect">
          <a:avLst/>
        </a:prstGeom>
      </xdr:spPr>
    </xdr:pic>
    <xdr:clientData/>
  </xdr:oneCellAnchor>
  <xdr:twoCellAnchor editAs="oneCell">
    <xdr:from>
      <xdr:col>0</xdr:col>
      <xdr:colOff>1181100</xdr:colOff>
      <xdr:row>22</xdr:row>
      <xdr:rowOff>76200</xdr:rowOff>
    </xdr:from>
    <xdr:to>
      <xdr:col>1</xdr:col>
      <xdr:colOff>251460</xdr:colOff>
      <xdr:row>22</xdr:row>
      <xdr:rowOff>636152</xdr:rowOff>
    </xdr:to>
    <xdr:pic>
      <xdr:nvPicPr>
        <xdr:cNvPr id="4" name="Imagen 3">
          <a:extLst>
            <a:ext uri="{FF2B5EF4-FFF2-40B4-BE49-F238E27FC236}">
              <a16:creationId xmlns:a16="http://schemas.microsoft.com/office/drawing/2014/main" id="{871AF145-6DF9-4F12-A533-CF8B407646A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81100" y="5105400"/>
          <a:ext cx="508635" cy="559952"/>
        </a:xfrm>
        <a:prstGeom prst="rect">
          <a:avLst/>
        </a:prstGeom>
      </xdr:spPr>
    </xdr:pic>
    <xdr:clientData/>
  </xdr:twoCellAnchor>
  <xdr:twoCellAnchor editAs="oneCell">
    <xdr:from>
      <xdr:col>2</xdr:col>
      <xdr:colOff>190500</xdr:colOff>
      <xdr:row>22</xdr:row>
      <xdr:rowOff>38100</xdr:rowOff>
    </xdr:from>
    <xdr:to>
      <xdr:col>3</xdr:col>
      <xdr:colOff>1190625</xdr:colOff>
      <xdr:row>22</xdr:row>
      <xdr:rowOff>666173</xdr:rowOff>
    </xdr:to>
    <xdr:pic>
      <xdr:nvPicPr>
        <xdr:cNvPr id="5" name="Imagen 4">
          <a:extLst>
            <a:ext uri="{FF2B5EF4-FFF2-40B4-BE49-F238E27FC236}">
              <a16:creationId xmlns:a16="http://schemas.microsoft.com/office/drawing/2014/main" id="{F7355ED5-9AAA-479A-A622-765B2F68C023}"/>
            </a:ext>
            <a:ext uri="{147F2762-F138-4A5C-976F-8EAC2B608ADB}">
              <a16:predDERef xmlns:a16="http://schemas.microsoft.com/office/drawing/2014/main" pred="{00000000-0008-0000-0100-000004000000}"/>
            </a:ext>
          </a:extLst>
        </xdr:cNvPr>
        <xdr:cNvPicPr>
          <a:picLocks noChangeAspect="1"/>
        </xdr:cNvPicPr>
      </xdr:nvPicPr>
      <xdr:blipFill>
        <a:blip xmlns:r="http://schemas.openxmlformats.org/officeDocument/2006/relationships" r:embed="rId4"/>
        <a:stretch>
          <a:fillRect/>
        </a:stretch>
      </xdr:blipFill>
      <xdr:spPr>
        <a:xfrm>
          <a:off x="3067050" y="5067300"/>
          <a:ext cx="2438400" cy="62807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EAECF-1426-4415-B2C9-8B7E2610CD2A}">
  <dimension ref="A1:AM95"/>
  <sheetViews>
    <sheetView tabSelected="1" view="pageBreakPreview" topLeftCell="A62" zoomScaleNormal="100" zoomScaleSheetLayoutView="100" workbookViewId="0">
      <selection activeCell="Q62" sqref="Q62"/>
    </sheetView>
  </sheetViews>
  <sheetFormatPr baseColWidth="10" defaultColWidth="11.44140625" defaultRowHeight="14.4" x14ac:dyDescent="0.3"/>
  <cols>
    <col min="1" max="2" width="3.109375" customWidth="1"/>
    <col min="3" max="3" width="20.44140625" bestFit="1" customWidth="1"/>
    <col min="4" max="4" width="16" customWidth="1"/>
    <col min="5" max="5" width="10.5546875" customWidth="1"/>
    <col min="6" max="6" width="12.44140625" customWidth="1"/>
    <col min="7" max="7" width="17.5546875" customWidth="1"/>
    <col min="8" max="8" width="1.88671875" customWidth="1"/>
    <col min="9" max="9" width="2.44140625" customWidth="1"/>
    <col min="10" max="10" width="11.88671875" customWidth="1"/>
    <col min="11" max="11" width="22.44140625" customWidth="1"/>
    <col min="12" max="12" width="3.5546875" customWidth="1"/>
    <col min="13" max="13" width="15.109375" customWidth="1"/>
    <col min="14" max="14" width="20.5546875" customWidth="1"/>
    <col min="15" max="15" width="2.109375" customWidth="1"/>
    <col min="17" max="17" width="17.5546875" customWidth="1"/>
    <col min="18" max="18" width="21.44140625" customWidth="1"/>
    <col min="20" max="20" width="15" customWidth="1"/>
    <col min="23" max="23" width="21.44140625" bestFit="1" customWidth="1"/>
    <col min="24" max="24" width="19.44140625" customWidth="1"/>
    <col min="25" max="25" width="20.44140625" bestFit="1" customWidth="1"/>
    <col min="26" max="26" width="21" bestFit="1" customWidth="1"/>
    <col min="27" max="27" width="12.44140625" bestFit="1" customWidth="1"/>
    <col min="28" max="28" width="5.88671875" customWidth="1"/>
    <col min="29" max="29" width="13.44140625" bestFit="1" customWidth="1"/>
    <col min="30" max="30" width="10.44140625" bestFit="1" customWidth="1"/>
    <col min="31" max="31" width="11.109375" bestFit="1" customWidth="1"/>
    <col min="32" max="32" width="13.109375" bestFit="1" customWidth="1"/>
    <col min="33" max="33" width="19.44140625" bestFit="1" customWidth="1"/>
    <col min="34" max="34" width="9.44140625" bestFit="1" customWidth="1"/>
    <col min="35" max="35" width="18.44140625" bestFit="1" customWidth="1"/>
    <col min="36" max="36" width="12.44140625" bestFit="1" customWidth="1"/>
  </cols>
  <sheetData>
    <row r="1" spans="1:32" ht="21" customHeight="1" x14ac:dyDescent="0.3">
      <c r="A1" s="81"/>
      <c r="B1" s="268"/>
      <c r="C1" s="269"/>
      <c r="D1" s="270"/>
      <c r="E1" s="277" t="s">
        <v>0</v>
      </c>
      <c r="F1" s="277"/>
      <c r="G1" s="277"/>
      <c r="H1" s="277"/>
      <c r="I1" s="277"/>
      <c r="J1" s="277"/>
      <c r="K1" s="277"/>
      <c r="L1" s="277"/>
      <c r="M1" s="277"/>
      <c r="N1" s="278"/>
      <c r="O1" s="279"/>
      <c r="Q1" s="25"/>
      <c r="R1" s="25"/>
      <c r="S1" s="25"/>
      <c r="T1" s="25"/>
      <c r="U1" s="25"/>
      <c r="V1" s="25"/>
      <c r="W1" s="25"/>
      <c r="X1" s="25"/>
      <c r="Y1" s="25"/>
      <c r="Z1" s="25"/>
      <c r="AA1" s="25"/>
      <c r="AB1" s="25"/>
      <c r="AC1" s="25"/>
      <c r="AD1" s="25"/>
      <c r="AE1" s="25"/>
      <c r="AF1" s="25"/>
    </row>
    <row r="2" spans="1:32" ht="21" customHeight="1" x14ac:dyDescent="0.3">
      <c r="A2" s="81"/>
      <c r="B2" s="271"/>
      <c r="C2" s="272"/>
      <c r="D2" s="273"/>
      <c r="E2" s="280"/>
      <c r="F2" s="280"/>
      <c r="G2" s="280"/>
      <c r="H2" s="280"/>
      <c r="I2" s="280"/>
      <c r="J2" s="280"/>
      <c r="K2" s="280"/>
      <c r="L2" s="280"/>
      <c r="M2" s="280"/>
      <c r="N2" s="281"/>
      <c r="O2" s="282"/>
      <c r="Q2" s="25"/>
      <c r="R2" s="25"/>
      <c r="S2" s="25"/>
      <c r="T2" s="25"/>
      <c r="U2" s="25"/>
      <c r="V2" s="25"/>
      <c r="W2" s="25"/>
      <c r="X2" s="25"/>
      <c r="Y2" s="25"/>
      <c r="Z2" s="25"/>
      <c r="AA2" s="25"/>
      <c r="AB2" s="25"/>
      <c r="AC2" s="25"/>
      <c r="AD2" s="25"/>
      <c r="AE2" s="25"/>
      <c r="AF2" s="25"/>
    </row>
    <row r="3" spans="1:32" ht="21" customHeight="1" thickBot="1" x14ac:dyDescent="0.35">
      <c r="A3" s="82"/>
      <c r="B3" s="274"/>
      <c r="C3" s="275"/>
      <c r="D3" s="276"/>
      <c r="E3" s="283" t="s">
        <v>1</v>
      </c>
      <c r="F3" s="283"/>
      <c r="G3" s="284" t="s">
        <v>2</v>
      </c>
      <c r="H3" s="285"/>
      <c r="I3" s="283" t="s">
        <v>3</v>
      </c>
      <c r="J3" s="283"/>
      <c r="K3" s="83" t="s">
        <v>4</v>
      </c>
      <c r="L3" s="283" t="s">
        <v>5</v>
      </c>
      <c r="M3" s="283"/>
      <c r="N3" s="286">
        <v>46008</v>
      </c>
      <c r="O3" s="287"/>
      <c r="Q3" s="84"/>
      <c r="R3" s="84"/>
      <c r="S3" s="84"/>
      <c r="T3" s="84"/>
      <c r="U3" s="84"/>
      <c r="V3" s="84"/>
      <c r="W3" s="84"/>
      <c r="X3" s="84"/>
      <c r="Y3" s="84"/>
      <c r="Z3" s="84"/>
      <c r="AA3" s="84"/>
      <c r="AB3" s="84"/>
      <c r="AC3" s="84"/>
      <c r="AD3" s="84"/>
      <c r="AE3" s="84"/>
      <c r="AF3" s="84"/>
    </row>
    <row r="4" spans="1:32" ht="18" customHeight="1" thickBot="1" x14ac:dyDescent="0.35">
      <c r="A4" s="82"/>
      <c r="B4" s="249" t="s">
        <v>6</v>
      </c>
      <c r="C4" s="250"/>
      <c r="D4" s="250"/>
      <c r="E4" s="250"/>
      <c r="F4" s="250"/>
      <c r="G4" s="250"/>
      <c r="H4" s="250"/>
      <c r="I4" s="250"/>
      <c r="J4" s="250"/>
      <c r="K4" s="250"/>
      <c r="L4" s="250"/>
      <c r="M4" s="250"/>
      <c r="N4" s="250"/>
      <c r="O4" s="251"/>
      <c r="Q4" s="84"/>
      <c r="R4" s="332"/>
      <c r="S4" s="332"/>
      <c r="T4" s="332"/>
      <c r="U4" s="84"/>
      <c r="V4" s="84"/>
      <c r="W4" s="84"/>
      <c r="X4" s="84"/>
      <c r="Y4" s="84"/>
      <c r="Z4" s="84"/>
      <c r="AA4" s="84"/>
      <c r="AB4" s="84"/>
      <c r="AC4" s="84"/>
      <c r="AD4" s="84"/>
      <c r="AE4" s="84"/>
      <c r="AF4" s="84"/>
    </row>
    <row r="5" spans="1:32" ht="5.0999999999999996" customHeight="1" x14ac:dyDescent="0.3">
      <c r="A5" s="82"/>
      <c r="B5" s="86"/>
      <c r="C5" s="87"/>
      <c r="D5" s="87"/>
      <c r="E5" s="87"/>
      <c r="F5" s="87"/>
      <c r="G5" s="87"/>
      <c r="H5" s="87"/>
      <c r="I5" s="87"/>
      <c r="J5" s="87"/>
      <c r="K5" s="87"/>
      <c r="L5" s="88"/>
      <c r="M5" s="88"/>
      <c r="N5" s="88"/>
      <c r="O5" s="89"/>
      <c r="Q5" s="84"/>
      <c r="R5" s="84"/>
      <c r="S5" s="84"/>
      <c r="T5" s="84"/>
      <c r="U5" s="84"/>
      <c r="V5" s="84"/>
      <c r="W5" s="84"/>
      <c r="X5" s="84"/>
      <c r="Y5" s="84"/>
      <c r="Z5" s="84"/>
      <c r="AA5" s="84"/>
      <c r="AB5" s="84"/>
      <c r="AC5" s="84"/>
      <c r="AD5" s="84"/>
      <c r="AE5" s="84"/>
      <c r="AF5" s="84"/>
    </row>
    <row r="6" spans="1:32" ht="16.350000000000001" customHeight="1" x14ac:dyDescent="0.3">
      <c r="A6" s="82"/>
      <c r="B6" s="90"/>
      <c r="C6" s="247" t="s">
        <v>7</v>
      </c>
      <c r="D6" s="247"/>
      <c r="E6" s="288" t="s">
        <v>8</v>
      </c>
      <c r="F6" s="288"/>
      <c r="G6" s="288"/>
      <c r="H6" s="93"/>
      <c r="I6" s="247" t="s">
        <v>9</v>
      </c>
      <c r="J6" s="247"/>
      <c r="K6" s="247"/>
      <c r="L6" s="289"/>
      <c r="M6" s="289"/>
      <c r="N6" s="289"/>
      <c r="O6" s="94"/>
      <c r="Q6" s="84"/>
      <c r="R6" s="84"/>
      <c r="S6" s="95"/>
      <c r="T6" s="95"/>
      <c r="U6" s="95"/>
      <c r="V6" s="95"/>
      <c r="W6" s="95"/>
      <c r="X6" s="95"/>
      <c r="Y6" s="84"/>
      <c r="Z6" s="84"/>
      <c r="AA6" s="84"/>
      <c r="AB6" s="84"/>
      <c r="AC6" s="84"/>
      <c r="AD6" s="84"/>
      <c r="AE6" s="84"/>
      <c r="AF6" s="84"/>
    </row>
    <row r="7" spans="1:32" ht="5.0999999999999996" customHeight="1" x14ac:dyDescent="0.3">
      <c r="A7" s="82"/>
      <c r="B7" s="90"/>
      <c r="C7" s="91"/>
      <c r="D7" s="96"/>
      <c r="E7" s="93"/>
      <c r="F7" s="93"/>
      <c r="G7" s="93"/>
      <c r="H7" s="93"/>
      <c r="I7" s="91"/>
      <c r="J7" s="91"/>
      <c r="K7" s="96"/>
      <c r="L7" s="193"/>
      <c r="M7" s="193"/>
      <c r="N7" s="193"/>
      <c r="O7" s="94"/>
      <c r="Q7" s="84"/>
      <c r="R7" s="95"/>
      <c r="S7" s="95"/>
      <c r="T7" s="95"/>
      <c r="U7" s="95"/>
      <c r="V7" s="95"/>
      <c r="W7" s="95"/>
      <c r="X7" s="95"/>
      <c r="Y7" s="84"/>
      <c r="Z7" s="84"/>
      <c r="AA7" s="84"/>
      <c r="AB7" s="84"/>
      <c r="AC7" s="84"/>
      <c r="AD7" s="84"/>
      <c r="AE7" s="84"/>
      <c r="AF7" s="84"/>
    </row>
    <row r="8" spans="1:32" ht="16.350000000000001" customHeight="1" x14ac:dyDescent="0.3">
      <c r="A8" s="82"/>
      <c r="B8" s="90"/>
      <c r="C8" s="247" t="s">
        <v>10</v>
      </c>
      <c r="D8" s="247"/>
      <c r="E8" s="288"/>
      <c r="F8" s="288"/>
      <c r="G8" s="288"/>
      <c r="H8" s="93"/>
      <c r="I8" s="247" t="s">
        <v>11</v>
      </c>
      <c r="J8" s="247"/>
      <c r="K8" s="247"/>
      <c r="L8" s="289"/>
      <c r="M8" s="289"/>
      <c r="N8" s="289"/>
      <c r="O8" s="94"/>
      <c r="Q8" s="84"/>
      <c r="R8" s="97" t="s">
        <v>12</v>
      </c>
      <c r="S8" s="95"/>
      <c r="T8" s="95"/>
      <c r="U8" s="95"/>
      <c r="V8" s="95"/>
      <c r="W8" s="95"/>
      <c r="X8" s="95"/>
      <c r="Y8" s="84"/>
      <c r="Z8" s="84"/>
      <c r="AA8" s="84"/>
      <c r="AB8" s="84"/>
      <c r="AC8" s="84"/>
      <c r="AD8" s="84"/>
      <c r="AE8" s="84"/>
      <c r="AF8" s="84"/>
    </row>
    <row r="9" spans="1:32" ht="5.0999999999999996" customHeight="1" x14ac:dyDescent="0.3">
      <c r="A9" s="82"/>
      <c r="B9" s="90"/>
      <c r="C9" s="91"/>
      <c r="D9" s="96"/>
      <c r="E9" s="93"/>
      <c r="F9" s="93"/>
      <c r="G9" s="93"/>
      <c r="H9" s="93"/>
      <c r="I9" s="91"/>
      <c r="J9" s="91"/>
      <c r="K9" s="91"/>
      <c r="L9" s="194"/>
      <c r="M9" s="194"/>
      <c r="N9" s="194"/>
      <c r="O9" s="94"/>
      <c r="Q9" s="84"/>
      <c r="R9" s="97" t="s">
        <v>13</v>
      </c>
      <c r="S9" s="95"/>
      <c r="T9" s="95"/>
      <c r="U9" s="95"/>
      <c r="V9" s="95"/>
      <c r="W9" s="95"/>
      <c r="X9" s="95"/>
      <c r="Y9" s="84"/>
      <c r="Z9" s="84"/>
      <c r="AA9" s="84"/>
      <c r="AB9" s="84"/>
      <c r="AC9" s="84"/>
      <c r="AD9" s="84"/>
      <c r="AE9" s="84"/>
      <c r="AF9" s="84"/>
    </row>
    <row r="10" spans="1:32" ht="16.350000000000001" customHeight="1" x14ac:dyDescent="0.3">
      <c r="A10" s="82"/>
      <c r="B10" s="90"/>
      <c r="C10" s="247" t="s">
        <v>14</v>
      </c>
      <c r="D10" s="247"/>
      <c r="E10" s="288" t="s">
        <v>15</v>
      </c>
      <c r="F10" s="288"/>
      <c r="G10" s="288"/>
      <c r="H10" s="93"/>
      <c r="I10" s="247" t="s">
        <v>16</v>
      </c>
      <c r="J10" s="247"/>
      <c r="K10" s="247"/>
      <c r="L10" s="289"/>
      <c r="M10" s="289"/>
      <c r="N10" s="289"/>
      <c r="O10" s="94"/>
      <c r="Q10" s="84"/>
      <c r="S10" s="99"/>
      <c r="T10" s="99"/>
      <c r="U10" s="95"/>
      <c r="V10" s="95"/>
      <c r="W10" s="95"/>
      <c r="X10" s="95"/>
      <c r="Y10" s="84"/>
      <c r="Z10" s="84"/>
      <c r="AA10" s="84"/>
      <c r="AB10" s="84"/>
      <c r="AC10" s="84"/>
      <c r="AD10" s="84"/>
      <c r="AE10" s="84"/>
      <c r="AF10" s="84"/>
    </row>
    <row r="11" spans="1:32" ht="5.0999999999999996" customHeight="1" thickBot="1" x14ac:dyDescent="0.35">
      <c r="A11" s="82"/>
      <c r="B11" s="100"/>
      <c r="C11" s="101"/>
      <c r="D11" s="102"/>
      <c r="E11" s="103"/>
      <c r="F11" s="103"/>
      <c r="G11" s="104"/>
      <c r="H11" s="104"/>
      <c r="I11" s="105"/>
      <c r="J11" s="105"/>
      <c r="K11" s="105"/>
      <c r="L11" s="105"/>
      <c r="M11" s="105"/>
      <c r="N11" s="105"/>
      <c r="O11" s="106"/>
      <c r="Q11" s="84"/>
      <c r="R11" s="95"/>
      <c r="S11" s="95"/>
      <c r="T11" s="95"/>
      <c r="U11" s="95"/>
      <c r="V11" s="95"/>
      <c r="W11" s="95"/>
      <c r="X11" s="95"/>
      <c r="Y11" s="84"/>
      <c r="Z11" s="84"/>
      <c r="AA11" s="84"/>
      <c r="AB11" s="84"/>
      <c r="AC11" s="84"/>
      <c r="AD11" s="84"/>
      <c r="AE11" s="84"/>
      <c r="AF11" s="84"/>
    </row>
    <row r="12" spans="1:32" ht="18" customHeight="1" thickBot="1" x14ac:dyDescent="0.35">
      <c r="A12" s="81"/>
      <c r="B12" s="249" t="s">
        <v>17</v>
      </c>
      <c r="C12" s="250"/>
      <c r="D12" s="250"/>
      <c r="E12" s="250"/>
      <c r="F12" s="250"/>
      <c r="G12" s="250"/>
      <c r="H12" s="250"/>
      <c r="I12" s="250"/>
      <c r="J12" s="250"/>
      <c r="K12" s="250"/>
      <c r="L12" s="250"/>
      <c r="M12" s="250"/>
      <c r="N12" s="250"/>
      <c r="O12" s="251"/>
      <c r="Q12" s="25"/>
      <c r="R12" s="21"/>
      <c r="S12" s="21"/>
      <c r="T12" s="21"/>
      <c r="U12" s="21"/>
      <c r="V12" s="21"/>
      <c r="W12" s="21"/>
      <c r="X12" s="21"/>
      <c r="Y12" s="25"/>
      <c r="Z12" s="25"/>
      <c r="AA12" s="25"/>
      <c r="AB12" s="25"/>
      <c r="AC12" s="25"/>
      <c r="AD12" s="25"/>
      <c r="AE12" s="25"/>
      <c r="AF12" s="25"/>
    </row>
    <row r="13" spans="1:32" ht="5.0999999999999996" customHeight="1" x14ac:dyDescent="0.3">
      <c r="A13" s="81"/>
      <c r="B13" s="86"/>
      <c r="C13" s="87"/>
      <c r="D13" s="87"/>
      <c r="E13" s="87"/>
      <c r="F13" s="87"/>
      <c r="G13" s="87"/>
      <c r="H13" s="87"/>
      <c r="I13" s="87"/>
      <c r="J13" s="87"/>
      <c r="K13" s="87"/>
      <c r="L13" s="88"/>
      <c r="M13" s="88"/>
      <c r="N13" s="88"/>
      <c r="O13" s="89"/>
      <c r="Q13" s="25"/>
      <c r="R13" s="21"/>
      <c r="S13" s="21"/>
      <c r="T13" s="21"/>
      <c r="U13" s="21"/>
      <c r="V13" s="21"/>
      <c r="W13" s="21"/>
      <c r="X13" s="21"/>
      <c r="Y13" s="25"/>
      <c r="Z13" s="25"/>
      <c r="AA13" s="25"/>
      <c r="AB13" s="25"/>
      <c r="AC13" s="25"/>
      <c r="AD13" s="25"/>
      <c r="AE13" s="25"/>
      <c r="AF13" s="25"/>
    </row>
    <row r="14" spans="1:32" ht="16.350000000000001" customHeight="1" x14ac:dyDescent="0.3">
      <c r="A14" s="81"/>
      <c r="B14" s="107"/>
      <c r="C14" s="91" t="s">
        <v>18</v>
      </c>
      <c r="D14" s="288"/>
      <c r="E14" s="288"/>
      <c r="F14" s="288"/>
      <c r="G14" s="91" t="s">
        <v>19</v>
      </c>
      <c r="H14" s="288"/>
      <c r="I14" s="288"/>
      <c r="J14" s="288"/>
      <c r="K14" s="91" t="s">
        <v>20</v>
      </c>
      <c r="L14" s="290"/>
      <c r="M14" s="290"/>
      <c r="N14" s="290"/>
      <c r="O14" s="108"/>
      <c r="Q14" s="25"/>
      <c r="R14" s="21"/>
      <c r="S14" s="21"/>
      <c r="AB14" s="25"/>
      <c r="AC14" s="25"/>
      <c r="AD14" s="25"/>
      <c r="AE14" s="25"/>
      <c r="AF14" s="25"/>
    </row>
    <row r="15" spans="1:32" ht="5.0999999999999996" customHeight="1" thickBot="1" x14ac:dyDescent="0.35">
      <c r="A15" s="81"/>
      <c r="B15" s="100"/>
      <c r="C15" s="101"/>
      <c r="D15" s="102"/>
      <c r="E15" s="103"/>
      <c r="F15" s="103"/>
      <c r="G15" s="104"/>
      <c r="H15" s="104"/>
      <c r="I15" s="105"/>
      <c r="J15" s="105"/>
      <c r="K15" s="105"/>
      <c r="L15" s="105"/>
      <c r="M15" s="105"/>
      <c r="N15" s="105"/>
      <c r="O15" s="106"/>
      <c r="Q15" s="25"/>
      <c r="R15" s="21"/>
      <c r="S15" s="21"/>
      <c r="AB15" s="25"/>
      <c r="AC15" s="25"/>
      <c r="AD15" s="25"/>
      <c r="AE15" s="25"/>
      <c r="AF15" s="25"/>
    </row>
    <row r="16" spans="1:32" ht="18" customHeight="1" thickBot="1" x14ac:dyDescent="0.35">
      <c r="A16" s="81"/>
      <c r="B16" s="249" t="s">
        <v>21</v>
      </c>
      <c r="C16" s="250"/>
      <c r="D16" s="250"/>
      <c r="E16" s="250"/>
      <c r="F16" s="250"/>
      <c r="G16" s="250"/>
      <c r="H16" s="250"/>
      <c r="I16" s="250"/>
      <c r="J16" s="250"/>
      <c r="K16" s="250"/>
      <c r="L16" s="250"/>
      <c r="M16" s="250"/>
      <c r="N16" s="250"/>
      <c r="O16" s="251"/>
      <c r="AB16" s="25"/>
      <c r="AC16" s="25"/>
      <c r="AD16" s="25"/>
      <c r="AE16" s="25"/>
      <c r="AF16" s="25"/>
    </row>
    <row r="17" spans="1:36" ht="5.0999999999999996" customHeight="1" x14ac:dyDescent="0.3">
      <c r="A17" s="81"/>
      <c r="B17" s="86"/>
      <c r="C17" s="87"/>
      <c r="D17" s="87"/>
      <c r="E17" s="87"/>
      <c r="F17" s="87"/>
      <c r="G17" s="87"/>
      <c r="H17" s="87"/>
      <c r="I17" s="87"/>
      <c r="J17" s="87"/>
      <c r="K17" s="87"/>
      <c r="L17" s="88"/>
      <c r="M17" s="88"/>
      <c r="N17" s="88"/>
      <c r="O17" s="89"/>
      <c r="AB17" s="25"/>
      <c r="AC17" s="25"/>
      <c r="AD17" s="25"/>
      <c r="AE17" s="25"/>
      <c r="AF17" s="25"/>
    </row>
    <row r="18" spans="1:36" ht="16.350000000000001" customHeight="1" x14ac:dyDescent="0.3">
      <c r="A18" s="81"/>
      <c r="B18" s="109"/>
      <c r="C18" s="91" t="s">
        <v>22</v>
      </c>
      <c r="D18" s="298"/>
      <c r="E18" s="298"/>
      <c r="F18" s="298"/>
      <c r="G18" s="298"/>
      <c r="H18" s="298"/>
      <c r="I18" s="298"/>
      <c r="J18" s="110" t="s">
        <v>23</v>
      </c>
      <c r="K18" s="92"/>
      <c r="L18" s="247" t="s">
        <v>24</v>
      </c>
      <c r="M18" s="247"/>
      <c r="N18" s="111"/>
      <c r="O18" s="112"/>
      <c r="AB18" s="25"/>
      <c r="AC18" s="25"/>
      <c r="AD18" s="25"/>
      <c r="AE18" s="25"/>
      <c r="AF18" s="25"/>
    </row>
    <row r="19" spans="1:36" ht="5.0999999999999996" customHeight="1" x14ac:dyDescent="0.3">
      <c r="A19" s="81"/>
      <c r="B19" s="109"/>
      <c r="C19" s="187"/>
      <c r="D19" s="187"/>
      <c r="E19" s="187"/>
      <c r="F19" s="187"/>
      <c r="G19" s="187"/>
      <c r="H19" s="187"/>
      <c r="I19" s="187"/>
      <c r="J19" s="187"/>
      <c r="K19" s="187"/>
      <c r="L19" s="189"/>
      <c r="M19" s="189"/>
      <c r="N19" s="189"/>
      <c r="O19" s="112"/>
      <c r="AB19" s="25"/>
      <c r="AC19" s="25"/>
      <c r="AD19" s="25"/>
      <c r="AE19" s="25"/>
      <c r="AF19" s="25"/>
    </row>
    <row r="20" spans="1:36" ht="16.350000000000001" customHeight="1" x14ac:dyDescent="0.3">
      <c r="A20" s="81"/>
      <c r="B20" s="107"/>
      <c r="C20" s="91" t="s">
        <v>25</v>
      </c>
      <c r="D20" s="92"/>
      <c r="E20" s="93"/>
      <c r="F20" s="91" t="s">
        <v>26</v>
      </c>
      <c r="G20" s="288"/>
      <c r="H20" s="288"/>
      <c r="I20" s="288"/>
      <c r="J20" s="247" t="s">
        <v>27</v>
      </c>
      <c r="K20" s="247"/>
      <c r="L20" s="288"/>
      <c r="M20" s="288"/>
      <c r="N20" s="288"/>
      <c r="O20" s="114"/>
      <c r="AB20" s="25"/>
    </row>
    <row r="21" spans="1:36" ht="5.0999999999999996" customHeight="1" x14ac:dyDescent="0.3">
      <c r="A21" s="81"/>
      <c r="B21" s="116"/>
      <c r="C21" s="96"/>
      <c r="D21" s="93"/>
      <c r="E21" s="93"/>
      <c r="F21" s="96"/>
      <c r="G21" s="93"/>
      <c r="H21" s="93"/>
      <c r="I21" s="93"/>
      <c r="J21" s="96"/>
      <c r="K21" s="96"/>
      <c r="L21" s="190"/>
      <c r="M21" s="181"/>
      <c r="N21" s="181"/>
      <c r="O21" s="117"/>
      <c r="T21" s="21"/>
      <c r="U21" s="21"/>
      <c r="V21" s="21"/>
      <c r="W21" s="21"/>
      <c r="X21" s="21"/>
      <c r="Y21" s="21"/>
      <c r="Z21" s="21"/>
      <c r="AA21" s="21"/>
      <c r="AB21" s="25"/>
      <c r="AC21" s="184"/>
      <c r="AD21" s="184"/>
      <c r="AE21" s="184"/>
      <c r="AF21" s="184"/>
      <c r="AG21" s="184"/>
      <c r="AH21" s="184"/>
      <c r="AI21" s="184"/>
      <c r="AJ21" s="184"/>
    </row>
    <row r="22" spans="1:36" ht="16.350000000000001" customHeight="1" x14ac:dyDescent="0.3">
      <c r="A22" s="81"/>
      <c r="B22" s="107"/>
      <c r="C22" s="91" t="s">
        <v>28</v>
      </c>
      <c r="D22" s="92"/>
      <c r="E22" s="93"/>
      <c r="F22" s="91" t="s">
        <v>29</v>
      </c>
      <c r="G22" s="288"/>
      <c r="H22" s="288"/>
      <c r="I22" s="288"/>
      <c r="J22" s="247" t="s">
        <v>30</v>
      </c>
      <c r="K22" s="247"/>
      <c r="L22" s="296"/>
      <c r="M22" s="296"/>
      <c r="N22" s="181" t="s">
        <v>31</v>
      </c>
      <c r="O22" s="114"/>
    </row>
    <row r="23" spans="1:36" ht="5.0999999999999996" customHeight="1" x14ac:dyDescent="0.3">
      <c r="A23" s="81"/>
      <c r="B23" s="107"/>
      <c r="C23" s="91"/>
      <c r="D23" s="93"/>
      <c r="E23" s="93"/>
      <c r="F23" s="91"/>
      <c r="G23" s="93"/>
      <c r="H23" s="93"/>
      <c r="I23" s="93"/>
      <c r="J23" s="91"/>
      <c r="K23" s="91"/>
      <c r="L23" s="191"/>
      <c r="M23" s="191"/>
      <c r="N23" s="181"/>
      <c r="O23" s="114"/>
      <c r="T23" s="346" t="s">
        <v>32</v>
      </c>
      <c r="U23" s="356"/>
      <c r="V23" s="356"/>
      <c r="W23" s="356"/>
      <c r="X23" s="356"/>
      <c r="Y23" s="356"/>
      <c r="Z23" s="356"/>
      <c r="AA23" s="347"/>
      <c r="AC23" s="346" t="s">
        <v>33</v>
      </c>
      <c r="AD23" s="356"/>
      <c r="AE23" s="356"/>
      <c r="AF23" s="356"/>
      <c r="AG23" s="356"/>
      <c r="AH23" s="356"/>
      <c r="AI23" s="356"/>
      <c r="AJ23" s="347"/>
    </row>
    <row r="24" spans="1:36" ht="16.350000000000001" customHeight="1" x14ac:dyDescent="0.3">
      <c r="A24" s="81"/>
      <c r="B24" s="107"/>
      <c r="C24" s="91" t="s">
        <v>34</v>
      </c>
      <c r="D24" s="192">
        <f>'CÁLCULO INCERTIDUMBRE'!$F$24</f>
        <v>0</v>
      </c>
      <c r="E24" s="247" t="s">
        <v>35</v>
      </c>
      <c r="F24" s="247"/>
      <c r="G24" s="300">
        <f>'CÁLCULO INCERTIDUMBRE'!$D$24</f>
        <v>0</v>
      </c>
      <c r="H24" s="288"/>
      <c r="I24" s="288"/>
      <c r="J24" s="119" t="s">
        <v>36</v>
      </c>
      <c r="K24" s="91" t="s">
        <v>37</v>
      </c>
      <c r="L24" s="299">
        <f>'CÁLCULO INCERTIDUMBRE'!$C$4</f>
        <v>0</v>
      </c>
      <c r="M24" s="299"/>
      <c r="N24" s="181" t="s">
        <v>38</v>
      </c>
      <c r="O24" s="114"/>
      <c r="T24" s="348"/>
      <c r="U24" s="357"/>
      <c r="V24" s="357"/>
      <c r="W24" s="357"/>
      <c r="X24" s="357"/>
      <c r="Y24" s="357"/>
      <c r="Z24" s="357"/>
      <c r="AA24" s="349"/>
      <c r="AC24" s="348"/>
      <c r="AD24" s="357"/>
      <c r="AE24" s="357"/>
      <c r="AF24" s="357"/>
      <c r="AG24" s="357"/>
      <c r="AH24" s="357"/>
      <c r="AI24" s="357"/>
      <c r="AJ24" s="349"/>
    </row>
    <row r="25" spans="1:36" ht="5.0999999999999996" customHeight="1" thickBot="1" x14ac:dyDescent="0.35">
      <c r="A25" s="81"/>
      <c r="B25" s="120"/>
      <c r="C25" s="121"/>
      <c r="D25" s="105"/>
      <c r="E25" s="105"/>
      <c r="F25" s="121"/>
      <c r="G25" s="105"/>
      <c r="H25" s="105"/>
      <c r="I25" s="105"/>
      <c r="J25" s="121"/>
      <c r="K25" s="122"/>
      <c r="L25" s="123"/>
      <c r="M25" s="121"/>
      <c r="N25" s="121"/>
      <c r="O25" s="124"/>
      <c r="Q25" s="25"/>
      <c r="R25" s="25"/>
      <c r="T25" s="97" t="s">
        <v>39</v>
      </c>
      <c r="U25" s="97" t="s">
        <v>40</v>
      </c>
      <c r="V25" s="118" t="s">
        <v>41</v>
      </c>
      <c r="W25" s="118" t="s">
        <v>42</v>
      </c>
      <c r="X25" s="118" t="s">
        <v>43</v>
      </c>
      <c r="Y25" s="118" t="s">
        <v>44</v>
      </c>
      <c r="Z25" s="118" t="s">
        <v>45</v>
      </c>
      <c r="AA25" s="118" t="s">
        <v>46</v>
      </c>
      <c r="AC25" s="97" t="s">
        <v>39</v>
      </c>
      <c r="AD25" s="97" t="s">
        <v>40</v>
      </c>
      <c r="AE25" s="118" t="s">
        <v>41</v>
      </c>
      <c r="AF25" s="118" t="s">
        <v>42</v>
      </c>
      <c r="AG25" s="118" t="s">
        <v>43</v>
      </c>
      <c r="AH25" s="118" t="s">
        <v>44</v>
      </c>
      <c r="AI25" s="118" t="s">
        <v>45</v>
      </c>
      <c r="AJ25" s="118" t="s">
        <v>46</v>
      </c>
    </row>
    <row r="26" spans="1:36" ht="18" customHeight="1" thickBot="1" x14ac:dyDescent="0.35">
      <c r="A26" s="81"/>
      <c r="B26" s="249" t="s">
        <v>47</v>
      </c>
      <c r="C26" s="250"/>
      <c r="D26" s="250"/>
      <c r="E26" s="250"/>
      <c r="F26" s="250"/>
      <c r="G26" s="250"/>
      <c r="H26" s="250"/>
      <c r="I26" s="250"/>
      <c r="J26" s="250"/>
      <c r="K26" s="250"/>
      <c r="L26" s="250"/>
      <c r="M26" s="250"/>
      <c r="N26" s="250"/>
      <c r="O26" s="251"/>
      <c r="R26" s="25"/>
      <c r="T26" s="97" t="s">
        <v>48</v>
      </c>
      <c r="U26" s="97" t="s">
        <v>49</v>
      </c>
      <c r="V26" s="97" t="s">
        <v>50</v>
      </c>
      <c r="W26" s="97" t="s">
        <v>51</v>
      </c>
      <c r="X26" s="183">
        <v>45860</v>
      </c>
      <c r="Y26" s="97" t="s">
        <v>52</v>
      </c>
      <c r="Z26" s="97">
        <v>8642</v>
      </c>
      <c r="AA26" s="97" t="s">
        <v>53</v>
      </c>
      <c r="AB26" s="126"/>
      <c r="AC26" s="97" t="s">
        <v>54</v>
      </c>
      <c r="AD26" s="118" t="s">
        <v>55</v>
      </c>
      <c r="AE26" s="118">
        <v>3000</v>
      </c>
      <c r="AF26" s="118">
        <v>2074023</v>
      </c>
      <c r="AG26" s="125">
        <v>45986</v>
      </c>
      <c r="AH26" s="118" t="s">
        <v>56</v>
      </c>
      <c r="AI26" s="118">
        <v>13356</v>
      </c>
      <c r="AJ26" s="118" t="s">
        <v>57</v>
      </c>
    </row>
    <row r="27" spans="1:36" ht="5.0999999999999996" customHeight="1" x14ac:dyDescent="0.3">
      <c r="A27" s="81"/>
      <c r="B27" s="86"/>
      <c r="C27" s="87"/>
      <c r="D27" s="87"/>
      <c r="E27" s="87"/>
      <c r="F27" s="87"/>
      <c r="G27" s="87"/>
      <c r="H27" s="87"/>
      <c r="I27" s="87"/>
      <c r="J27" s="87"/>
      <c r="K27" s="87"/>
      <c r="L27" s="88"/>
      <c r="M27" s="88"/>
      <c r="N27" s="88"/>
      <c r="O27" s="89"/>
      <c r="R27" s="25"/>
      <c r="T27" s="97" t="s">
        <v>58</v>
      </c>
      <c r="U27" s="118" t="s">
        <v>59</v>
      </c>
      <c r="V27" s="118" t="s">
        <v>60</v>
      </c>
      <c r="W27" s="118">
        <v>810551</v>
      </c>
      <c r="X27" s="125">
        <v>45824</v>
      </c>
      <c r="Y27" s="118" t="s">
        <v>61</v>
      </c>
      <c r="Z27" s="118">
        <v>8532</v>
      </c>
      <c r="AA27" s="118" t="s">
        <v>53</v>
      </c>
      <c r="AB27" s="127"/>
      <c r="AC27" s="97" t="s">
        <v>62</v>
      </c>
      <c r="AD27" s="97" t="s">
        <v>63</v>
      </c>
      <c r="AE27" s="118" t="s">
        <v>64</v>
      </c>
      <c r="AF27" s="118">
        <v>11121025</v>
      </c>
      <c r="AG27" s="125">
        <v>45897</v>
      </c>
      <c r="AH27" s="118" t="s">
        <v>65</v>
      </c>
      <c r="AI27" s="118">
        <v>13031</v>
      </c>
      <c r="AJ27" s="118" t="s">
        <v>57</v>
      </c>
    </row>
    <row r="28" spans="1:36" ht="16.350000000000001" customHeight="1" x14ac:dyDescent="0.3">
      <c r="A28" s="81"/>
      <c r="B28" s="109"/>
      <c r="C28" s="185" t="s">
        <v>39</v>
      </c>
      <c r="D28" s="185" t="s">
        <v>40</v>
      </c>
      <c r="E28" s="297" t="s">
        <v>41</v>
      </c>
      <c r="F28" s="297"/>
      <c r="G28" s="185" t="s">
        <v>42</v>
      </c>
      <c r="H28" s="297" t="s">
        <v>66</v>
      </c>
      <c r="I28" s="297"/>
      <c r="J28" s="297"/>
      <c r="K28" s="185" t="s">
        <v>44</v>
      </c>
      <c r="L28" s="297" t="s">
        <v>67</v>
      </c>
      <c r="M28" s="297"/>
      <c r="N28" s="185" t="s">
        <v>68</v>
      </c>
      <c r="O28" s="112"/>
      <c r="Q28" s="240" t="s">
        <v>69</v>
      </c>
      <c r="R28" s="240" t="s">
        <v>70</v>
      </c>
      <c r="T28" s="97" t="s">
        <v>71</v>
      </c>
      <c r="U28" s="97" t="s">
        <v>49</v>
      </c>
      <c r="V28" s="118" t="s">
        <v>72</v>
      </c>
      <c r="W28" s="118" t="s">
        <v>73</v>
      </c>
      <c r="X28" s="125">
        <v>45824</v>
      </c>
      <c r="Y28" s="118" t="s">
        <v>74</v>
      </c>
      <c r="Z28" s="118">
        <v>8533</v>
      </c>
      <c r="AA28" s="118" t="s">
        <v>53</v>
      </c>
      <c r="AC28" s="97" t="s">
        <v>75</v>
      </c>
      <c r="AD28" s="97" t="s">
        <v>76</v>
      </c>
      <c r="AE28" s="118" t="s">
        <v>77</v>
      </c>
      <c r="AF28" s="118">
        <v>92833390</v>
      </c>
      <c r="AG28" s="125">
        <v>45919</v>
      </c>
      <c r="AH28" s="118" t="s">
        <v>78</v>
      </c>
      <c r="AI28" s="118">
        <v>13098</v>
      </c>
      <c r="AJ28" s="118" t="s">
        <v>57</v>
      </c>
    </row>
    <row r="29" spans="1:36" ht="16.350000000000001" customHeight="1" x14ac:dyDescent="0.3">
      <c r="A29" s="81"/>
      <c r="B29" s="109"/>
      <c r="C29" s="186" t="s">
        <v>79</v>
      </c>
      <c r="D29" s="186" t="str">
        <f>IF($R$28="CEC-004",U27,IF($R$28="CEC-003",U28,IF($R$28="CEC-005",U29,IF($R$28="CEC-007",U31,IF($R$28="CEC-001",U26,U30)))))</f>
        <v>TRUMAX</v>
      </c>
      <c r="E29" s="291" t="str">
        <f>IF($R$28="CEC-004",V27,IF($R$28="CEC-003",V28,IF($R$28="CEC-005",V29,IF($R$28="CEC-007",V31,IF($R$28="CEC-001",V26,V30)))))</f>
        <v>SC-2.5Klb</v>
      </c>
      <c r="F29" s="293"/>
      <c r="G29" s="186">
        <f>IF($R$28="CEC-004",W27,IF($R$28="CEC-003",W28,IF($R$28="CEC-005",W29,IF($R$28="CEC-007",W31,IF($R$28="CEC-001",W26,W30)))))</f>
        <v>2301129900</v>
      </c>
      <c r="H29" s="337" t="str">
        <f>IF($R$28="CEC-004",AA27,IF($R$28="CEC-003",AA28,IF($R$28="CEC-005",AA29,IF($R$28="CEC-007",AA31,IF($R$28="CEC-001",AA26,AA30)))))</f>
        <v>SERVINTEGRAL</v>
      </c>
      <c r="I29" s="337"/>
      <c r="J29" s="337"/>
      <c r="K29" s="186" t="str">
        <f>IF($R$28="CEC-004",Y27,IF($R$28="CEC-003",Y28,IF($R$28="CEC-005",Y29,IF($R$28="CEC-007",Y31,IF($R$28="CEC-001",Y26,Y30)))))</f>
        <v>(0 a 2500) lb-f</v>
      </c>
      <c r="L29" s="338">
        <f>IF($R$28="CEC-004",X27,IF($R$28="CEC-003",X28,IF($R$28="CEC-005",X29,IF($R$28="CEC-007",X31,IF($R$28="CEC-001",X26,X30)))))</f>
        <v>45786</v>
      </c>
      <c r="M29" s="338"/>
      <c r="N29" s="186">
        <f>IF($R$28="CEC-004",Z27,IF($R$28="CEC-003",Z28,IF($R$28="CEC-005",Z29,IF($R$28="CEC-007",Z31,IF($R$28="CEC-001",Z26,Z30)))))</f>
        <v>8472</v>
      </c>
      <c r="O29" s="112"/>
      <c r="Q29" s="240"/>
      <c r="R29" s="240"/>
      <c r="T29" s="97" t="s">
        <v>70</v>
      </c>
      <c r="U29" s="97" t="s">
        <v>49</v>
      </c>
      <c r="V29" s="118" t="s">
        <v>80</v>
      </c>
      <c r="W29" s="118">
        <v>2301129900</v>
      </c>
      <c r="X29" s="125">
        <v>45786</v>
      </c>
      <c r="Y29" s="118" t="s">
        <v>81</v>
      </c>
      <c r="Z29" s="118">
        <v>8472</v>
      </c>
      <c r="AA29" s="118" t="s">
        <v>53</v>
      </c>
      <c r="AC29" s="97" t="s">
        <v>82</v>
      </c>
      <c r="AD29" s="118" t="s">
        <v>76</v>
      </c>
      <c r="AE29" s="118" t="s">
        <v>77</v>
      </c>
      <c r="AF29" s="130" t="s">
        <v>83</v>
      </c>
      <c r="AG29" s="125">
        <v>45901</v>
      </c>
      <c r="AH29" s="118" t="s">
        <v>84</v>
      </c>
      <c r="AI29" s="118">
        <v>13029</v>
      </c>
      <c r="AJ29" s="118" t="s">
        <v>57</v>
      </c>
    </row>
    <row r="30" spans="1:36" ht="16.350000000000001" customHeight="1" x14ac:dyDescent="0.3">
      <c r="A30" s="81"/>
      <c r="B30" s="109"/>
      <c r="C30" s="186" t="s">
        <v>85</v>
      </c>
      <c r="D30" s="186" t="str">
        <f>IF($R$31="TP-010",AD26,IF($R$31="TP-002",AD27,IF($R$31="TP-004",AD28,IF($R$31="TP-009",AD30,AD29))))</f>
        <v>DANFOSS</v>
      </c>
      <c r="E30" s="291" t="str">
        <f>IF($R$31="TP-010",AE26,IF($R$31="TP-002",AE27,IF($R$31="TP-004",AE28,IF($R$31="TP-009",AE30,AE29))))</f>
        <v>MBS3000</v>
      </c>
      <c r="F30" s="293"/>
      <c r="G30" s="186">
        <f>IF($R$31="TP-010",AF26,IF($R$31="TP-002",AF27,IF($R$31="TP-004",AF28,IF($R$31="TP-009",AF30,AF29))))</f>
        <v>20275210</v>
      </c>
      <c r="H30" s="337" t="str">
        <f>IF($R$31="TP-010",AJ26,IF($R$31="TP-002",AJ27,IF($R$31="TP-004",AJ28,IF($R$31="TP-009",AJ30,AJ29))))</f>
        <v>FLEXILATINA</v>
      </c>
      <c r="I30" s="337"/>
      <c r="J30" s="337"/>
      <c r="K30" s="186" t="str">
        <f>IF($R$31="TP-010",AH26,IF($R$31="TP-002",AH27,IF($R$31="TP-004",AH28,IF($R$31="TP-009",AH30,AH29))))</f>
        <v>(0 a 3625) psi</v>
      </c>
      <c r="L30" s="338">
        <f>IF($R$31="TP-010",AG26,IF($R$31="TP-002",AG27,IF($R$31="TP-004",AG28,IF($R$31="TP-009",AG30,AG29))))</f>
        <v>45897</v>
      </c>
      <c r="M30" s="338"/>
      <c r="N30" s="186">
        <f>IF($R$31="TP-010",AI26,IF($R$31="TP-002",AI27,IF($R$31="TP-004",AI28,IF($R$31="TP-009",AI30,AI29))))</f>
        <v>13030</v>
      </c>
      <c r="O30" s="112"/>
      <c r="Q30" s="128"/>
      <c r="R30" s="95"/>
      <c r="T30" s="97" t="s">
        <v>86</v>
      </c>
      <c r="U30" s="97" t="s">
        <v>87</v>
      </c>
      <c r="V30" s="118" t="s">
        <v>88</v>
      </c>
      <c r="W30" s="118">
        <v>17080195</v>
      </c>
      <c r="X30" s="125">
        <v>45824</v>
      </c>
      <c r="Y30" s="118" t="s">
        <v>89</v>
      </c>
      <c r="Z30" s="118">
        <v>8531</v>
      </c>
      <c r="AA30" s="118" t="s">
        <v>53</v>
      </c>
      <c r="AB30" s="129"/>
      <c r="AC30" s="97" t="s">
        <v>90</v>
      </c>
      <c r="AD30" s="97" t="s">
        <v>76</v>
      </c>
      <c r="AE30" s="118" t="s">
        <v>77</v>
      </c>
      <c r="AF30" s="118">
        <v>20275210</v>
      </c>
      <c r="AG30" s="125">
        <v>45897</v>
      </c>
      <c r="AH30" s="118" t="s">
        <v>91</v>
      </c>
      <c r="AI30" s="118">
        <v>13030</v>
      </c>
      <c r="AJ30" s="118" t="s">
        <v>57</v>
      </c>
    </row>
    <row r="31" spans="1:36" ht="16.350000000000001" customHeight="1" x14ac:dyDescent="0.3">
      <c r="A31" s="81"/>
      <c r="B31" s="109"/>
      <c r="C31" s="344" t="s">
        <v>92</v>
      </c>
      <c r="D31" s="344" t="str">
        <f>IF(R37="TESTO",U35,U37)</f>
        <v>TESTO</v>
      </c>
      <c r="E31" s="346">
        <f>IF(R37="TESTO",V35,V37)</f>
        <v>622</v>
      </c>
      <c r="F31" s="347"/>
      <c r="G31" s="344" t="str">
        <f>IF(R37="TESTO",W35,W37)</f>
        <v>39536692/0323</v>
      </c>
      <c r="H31" s="339" t="str">
        <f>IF(R37="TESTO",AA35,AA37)</f>
        <v>VALMET L&amp;M</v>
      </c>
      <c r="I31" s="340"/>
      <c r="J31" s="341"/>
      <c r="K31" s="118" t="str">
        <f>IF(R37="TESTO",Y35,Y37)</f>
        <v>(-20 a 60) °C / (0 a 100) %hr</v>
      </c>
      <c r="L31" s="342">
        <f>IF(R37="TESTO",X35,X37)</f>
        <v>45695</v>
      </c>
      <c r="M31" s="343"/>
      <c r="N31" s="118" t="str">
        <f>IF(R37="TESTO",Z35,Z37)</f>
        <v>HR-4914-25 / TE-8606-25</v>
      </c>
      <c r="O31" s="112"/>
      <c r="Q31" s="240" t="s">
        <v>93</v>
      </c>
      <c r="R31" s="241" t="s">
        <v>90</v>
      </c>
      <c r="T31" s="118" t="s">
        <v>94</v>
      </c>
      <c r="U31" s="118" t="s">
        <v>49</v>
      </c>
      <c r="V31" s="118" t="s">
        <v>95</v>
      </c>
      <c r="W31" s="118">
        <v>2309210270</v>
      </c>
      <c r="X31" s="125">
        <v>46006</v>
      </c>
      <c r="Y31" s="118" t="s">
        <v>96</v>
      </c>
      <c r="Z31" s="97">
        <v>8950</v>
      </c>
      <c r="AA31" s="97" t="s">
        <v>53</v>
      </c>
      <c r="AB31" s="127"/>
    </row>
    <row r="32" spans="1:36" ht="16.350000000000001" customHeight="1" x14ac:dyDescent="0.3">
      <c r="A32" s="81"/>
      <c r="B32" s="109"/>
      <c r="C32" s="345"/>
      <c r="D32" s="345"/>
      <c r="E32" s="348"/>
      <c r="F32" s="349"/>
      <c r="G32" s="345"/>
      <c r="H32" s="241" t="str">
        <f>IF(R37="TESTO",AA36,AA38)</f>
        <v>METROLABOR</v>
      </c>
      <c r="I32" s="241"/>
      <c r="J32" s="241"/>
      <c r="K32" s="180" t="str">
        <f>IF(R37="TESTO",Y36,Y38)</f>
        <v>(300 a 1200) hPa</v>
      </c>
      <c r="L32" s="350">
        <f>IF(R37="TESTO",X36,X38)</f>
        <v>45793</v>
      </c>
      <c r="M32" s="350"/>
      <c r="N32" s="180" t="str">
        <f>IF(R37="TESTO",Z36,Z38)</f>
        <v xml:space="preserve"> MET-LP-CC 12662</v>
      </c>
      <c r="O32" s="112"/>
      <c r="Q32" s="240"/>
      <c r="R32" s="241"/>
      <c r="T32" s="131"/>
      <c r="U32" s="129"/>
      <c r="V32" s="129"/>
      <c r="W32" s="131"/>
      <c r="X32" s="132"/>
      <c r="Y32" s="129"/>
      <c r="Z32" s="133"/>
      <c r="AA32" s="133"/>
      <c r="AB32" s="127"/>
      <c r="AC32" s="95"/>
      <c r="AD32" s="95"/>
      <c r="AE32" s="134"/>
      <c r="AF32" s="134"/>
      <c r="AG32" s="135"/>
      <c r="AH32" s="134"/>
      <c r="AI32" s="134"/>
      <c r="AJ32" s="134"/>
    </row>
    <row r="33" spans="1:39" ht="16.350000000000001" customHeight="1" x14ac:dyDescent="0.3">
      <c r="A33" s="81"/>
      <c r="B33" s="109"/>
      <c r="C33" s="186" t="s">
        <v>97</v>
      </c>
      <c r="D33" s="186" t="str">
        <f>IF(R34="INSIZE",AD35,AD36)</f>
        <v>INSIZE</v>
      </c>
      <c r="E33" s="291" t="str">
        <f>IF(R34="INSIZE",AE35,AE36)</f>
        <v>1108-200</v>
      </c>
      <c r="F33" s="293"/>
      <c r="G33" s="186">
        <f>IF(R34="INSIZE",AF35,AF36)</f>
        <v>1212181369</v>
      </c>
      <c r="H33" s="291" t="str">
        <f>IF($R$34="INSIZE",AJ35,AJ36)</f>
        <v>METROTEST</v>
      </c>
      <c r="I33" s="292"/>
      <c r="J33" s="293"/>
      <c r="K33" s="186" t="str">
        <f>IF(R34="INSIZE",AH35,AH36)</f>
        <v>(0 a 200) mm</v>
      </c>
      <c r="L33" s="294">
        <f>IF($R$34="INSIZE",AG35,AG36)</f>
        <v>45796</v>
      </c>
      <c r="M33" s="295"/>
      <c r="N33" s="186" t="str">
        <f>IF($R$34="INSIZE",AI35,AI36)</f>
        <v>CD-10088</v>
      </c>
      <c r="O33" s="112"/>
      <c r="Q33" s="136"/>
      <c r="R33" s="137"/>
      <c r="T33" s="131"/>
      <c r="U33" s="334" t="s">
        <v>98</v>
      </c>
      <c r="V33" s="335"/>
      <c r="W33" s="335"/>
      <c r="X33" s="335"/>
      <c r="Y33" s="335"/>
      <c r="Z33" s="335"/>
      <c r="AA33" s="336"/>
      <c r="AB33" s="127"/>
      <c r="AC33" s="358" t="s">
        <v>97</v>
      </c>
      <c r="AD33" s="359"/>
      <c r="AE33" s="359"/>
      <c r="AF33" s="359"/>
      <c r="AG33" s="359"/>
      <c r="AH33" s="359"/>
      <c r="AI33" s="359"/>
      <c r="AJ33" s="360"/>
    </row>
    <row r="34" spans="1:39" ht="16.350000000000001" customHeight="1" x14ac:dyDescent="0.3">
      <c r="A34" s="81"/>
      <c r="B34" s="109"/>
      <c r="C34" s="186" t="s">
        <v>99</v>
      </c>
      <c r="D34" s="186" t="str">
        <f>AD41</f>
        <v>TRUPER</v>
      </c>
      <c r="E34" s="337" t="str">
        <f>AE41</f>
        <v>FH-5M</v>
      </c>
      <c r="F34" s="337"/>
      <c r="G34" s="186" t="str">
        <f>AF41</f>
        <v>UK 0126 0022</v>
      </c>
      <c r="H34" s="291" t="str">
        <f>AJ41</f>
        <v>METROTEST</v>
      </c>
      <c r="I34" s="292"/>
      <c r="J34" s="293"/>
      <c r="K34" s="186" t="str">
        <f>AH41</f>
        <v>(0 a 5) m</v>
      </c>
      <c r="L34" s="294">
        <f>AG41</f>
        <v>45796</v>
      </c>
      <c r="M34" s="295"/>
      <c r="N34" s="186" t="str">
        <f>AI41</f>
        <v>CD-10090</v>
      </c>
      <c r="O34" s="112"/>
      <c r="Q34" s="240" t="s">
        <v>100</v>
      </c>
      <c r="R34" s="241" t="s">
        <v>101</v>
      </c>
      <c r="T34" s="131"/>
      <c r="U34" s="97" t="s">
        <v>40</v>
      </c>
      <c r="V34" s="118" t="s">
        <v>41</v>
      </c>
      <c r="W34" s="118" t="s">
        <v>42</v>
      </c>
      <c r="X34" s="118" t="s">
        <v>43</v>
      </c>
      <c r="Y34" s="118" t="s">
        <v>44</v>
      </c>
      <c r="Z34" s="118" t="s">
        <v>45</v>
      </c>
      <c r="AA34" s="118" t="s">
        <v>46</v>
      </c>
      <c r="AB34" s="127"/>
      <c r="AC34" s="97" t="s">
        <v>39</v>
      </c>
      <c r="AD34" s="97" t="s">
        <v>40</v>
      </c>
      <c r="AE34" s="118" t="s">
        <v>41</v>
      </c>
      <c r="AF34" s="118" t="s">
        <v>42</v>
      </c>
      <c r="AG34" s="118" t="s">
        <v>43</v>
      </c>
      <c r="AH34" s="118" t="s">
        <v>44</v>
      </c>
      <c r="AI34" s="118" t="s">
        <v>45</v>
      </c>
      <c r="AJ34" s="118" t="s">
        <v>46</v>
      </c>
    </row>
    <row r="35" spans="1:39" ht="5.0999999999999996" customHeight="1" x14ac:dyDescent="0.3">
      <c r="A35" s="81"/>
      <c r="B35" s="109"/>
      <c r="C35" s="187"/>
      <c r="D35" s="93"/>
      <c r="E35" s="93"/>
      <c r="F35" s="93"/>
      <c r="G35" s="93"/>
      <c r="H35" s="93"/>
      <c r="I35" s="93"/>
      <c r="J35" s="93"/>
      <c r="K35" s="93"/>
      <c r="L35" s="188"/>
      <c r="M35" s="188"/>
      <c r="N35" s="93"/>
      <c r="O35" s="112"/>
      <c r="Q35" s="240"/>
      <c r="R35" s="241"/>
      <c r="U35" s="344" t="s">
        <v>102</v>
      </c>
      <c r="V35" s="344">
        <v>622</v>
      </c>
      <c r="W35" s="344" t="s">
        <v>103</v>
      </c>
      <c r="X35" s="125">
        <v>45695</v>
      </c>
      <c r="Y35" s="130" t="s">
        <v>104</v>
      </c>
      <c r="Z35" s="118" t="s">
        <v>105</v>
      </c>
      <c r="AA35" s="118" t="s">
        <v>106</v>
      </c>
      <c r="AB35" s="127"/>
      <c r="AC35" s="97" t="s">
        <v>107</v>
      </c>
      <c r="AD35" s="97" t="s">
        <v>101</v>
      </c>
      <c r="AE35" s="97" t="s">
        <v>108</v>
      </c>
      <c r="AF35" s="97">
        <v>1212181369</v>
      </c>
      <c r="AG35" s="183">
        <v>45796</v>
      </c>
      <c r="AH35" s="97" t="s">
        <v>109</v>
      </c>
      <c r="AI35" s="97" t="s">
        <v>110</v>
      </c>
      <c r="AJ35" s="97" t="s">
        <v>111</v>
      </c>
    </row>
    <row r="36" spans="1:39" ht="16.350000000000001" customHeight="1" x14ac:dyDescent="0.3">
      <c r="A36" s="81"/>
      <c r="B36" s="109"/>
      <c r="C36" s="258" t="s">
        <v>112</v>
      </c>
      <c r="D36" s="258"/>
      <c r="E36" s="258"/>
      <c r="F36" s="258"/>
      <c r="G36" s="258"/>
      <c r="H36" s="258"/>
      <c r="I36" s="258"/>
      <c r="J36" s="258"/>
      <c r="K36" s="258"/>
      <c r="L36" s="258"/>
      <c r="M36" s="258"/>
      <c r="N36" s="258"/>
      <c r="O36" s="112"/>
      <c r="Q36" s="195"/>
      <c r="R36" s="84"/>
      <c r="U36" s="345"/>
      <c r="V36" s="345"/>
      <c r="W36" s="345"/>
      <c r="X36" s="141">
        <v>45793</v>
      </c>
      <c r="Y36" s="142" t="s">
        <v>113</v>
      </c>
      <c r="Z36" s="97" t="s">
        <v>114</v>
      </c>
      <c r="AA36" s="97" t="s">
        <v>115</v>
      </c>
      <c r="AC36" s="118" t="s">
        <v>116</v>
      </c>
      <c r="AD36" s="118" t="s">
        <v>117</v>
      </c>
      <c r="AE36" s="118" t="s">
        <v>118</v>
      </c>
      <c r="AF36" s="118" t="s">
        <v>119</v>
      </c>
      <c r="AG36" s="125">
        <v>45796</v>
      </c>
      <c r="AH36" s="118" t="s">
        <v>120</v>
      </c>
      <c r="AI36" s="118" t="s">
        <v>121</v>
      </c>
      <c r="AJ36" s="118" t="s">
        <v>111</v>
      </c>
    </row>
    <row r="37" spans="1:39" ht="16.350000000000001" customHeight="1" x14ac:dyDescent="0.3">
      <c r="A37" s="81"/>
      <c r="B37" s="109"/>
      <c r="C37" s="258"/>
      <c r="D37" s="258"/>
      <c r="E37" s="258"/>
      <c r="F37" s="258"/>
      <c r="G37" s="258"/>
      <c r="H37" s="258"/>
      <c r="I37" s="258"/>
      <c r="J37" s="258"/>
      <c r="K37" s="258"/>
      <c r="L37" s="258"/>
      <c r="M37" s="258"/>
      <c r="N37" s="258"/>
      <c r="O37" s="112"/>
      <c r="Q37" s="240" t="s">
        <v>122</v>
      </c>
      <c r="R37" s="241" t="s">
        <v>102</v>
      </c>
      <c r="U37" s="344" t="s">
        <v>123</v>
      </c>
      <c r="V37" s="361" t="s">
        <v>124</v>
      </c>
      <c r="W37" s="361">
        <v>50898</v>
      </c>
      <c r="X37" s="141">
        <v>45798</v>
      </c>
      <c r="Y37" s="118" t="s">
        <v>125</v>
      </c>
      <c r="Z37" s="118" t="s">
        <v>126</v>
      </c>
      <c r="AA37" s="118" t="s">
        <v>127</v>
      </c>
    </row>
    <row r="38" spans="1:39" ht="5.0999999999999996" customHeight="1" thickBot="1" x14ac:dyDescent="0.35">
      <c r="A38" s="81"/>
      <c r="B38" s="139"/>
      <c r="C38" s="105"/>
      <c r="D38" s="105"/>
      <c r="E38" s="105"/>
      <c r="F38" s="105"/>
      <c r="G38" s="105"/>
      <c r="H38" s="105"/>
      <c r="I38" s="105"/>
      <c r="J38" s="105"/>
      <c r="K38" s="105"/>
      <c r="L38" s="140"/>
      <c r="M38" s="140"/>
      <c r="N38" s="140"/>
      <c r="O38" s="106"/>
      <c r="Q38" s="240"/>
      <c r="R38" s="241"/>
      <c r="U38" s="345"/>
      <c r="V38" s="362"/>
      <c r="W38" s="362"/>
      <c r="X38" s="125">
        <v>45798</v>
      </c>
      <c r="Y38" s="130" t="s">
        <v>128</v>
      </c>
      <c r="Z38" s="118" t="s">
        <v>129</v>
      </c>
      <c r="AA38" s="118" t="s">
        <v>127</v>
      </c>
    </row>
    <row r="39" spans="1:39" ht="18" customHeight="1" thickBot="1" x14ac:dyDescent="0.35">
      <c r="A39" s="81"/>
      <c r="B39" s="255" t="s">
        <v>130</v>
      </c>
      <c r="C39" s="256"/>
      <c r="D39" s="256"/>
      <c r="E39" s="256"/>
      <c r="F39" s="256"/>
      <c r="G39" s="256"/>
      <c r="H39" s="256"/>
      <c r="I39" s="256"/>
      <c r="J39" s="256"/>
      <c r="K39" s="256"/>
      <c r="L39" s="256"/>
      <c r="M39" s="256"/>
      <c r="N39" s="256"/>
      <c r="O39" s="257"/>
      <c r="R39" s="25"/>
      <c r="AC39" s="358" t="s">
        <v>131</v>
      </c>
      <c r="AD39" s="359"/>
      <c r="AE39" s="359"/>
      <c r="AF39" s="359"/>
      <c r="AG39" s="359"/>
      <c r="AH39" s="359"/>
      <c r="AI39" s="359"/>
      <c r="AJ39" s="360"/>
    </row>
    <row r="40" spans="1:39" ht="5.0999999999999996" customHeight="1" x14ac:dyDescent="0.3">
      <c r="A40" s="81"/>
      <c r="B40" s="143"/>
      <c r="C40" s="144"/>
      <c r="D40" s="144"/>
      <c r="E40" s="144"/>
      <c r="F40" s="144"/>
      <c r="G40" s="144"/>
      <c r="H40" s="144"/>
      <c r="I40" s="144"/>
      <c r="J40" s="144"/>
      <c r="K40" s="144"/>
      <c r="L40" s="144"/>
      <c r="M40" s="144"/>
      <c r="N40" s="144"/>
      <c r="O40" s="145"/>
      <c r="Q40" s="25"/>
      <c r="R40" s="146"/>
      <c r="S40" s="138"/>
      <c r="AC40" s="182" t="s">
        <v>39</v>
      </c>
      <c r="AD40" s="182" t="s">
        <v>40</v>
      </c>
      <c r="AE40" s="182" t="s">
        <v>41</v>
      </c>
      <c r="AF40" s="182" t="s">
        <v>42</v>
      </c>
      <c r="AG40" s="182" t="s">
        <v>43</v>
      </c>
      <c r="AH40" s="182" t="s">
        <v>44</v>
      </c>
      <c r="AI40" s="182" t="s">
        <v>45</v>
      </c>
      <c r="AJ40" s="182" t="s">
        <v>46</v>
      </c>
      <c r="AK40" s="146"/>
      <c r="AL40" s="146"/>
      <c r="AM40" s="146"/>
    </row>
    <row r="41" spans="1:39" ht="16.350000000000001" customHeight="1" x14ac:dyDescent="0.3">
      <c r="A41" s="81"/>
      <c r="B41" s="143"/>
      <c r="C41" s="147" t="s">
        <v>132</v>
      </c>
      <c r="D41" s="267"/>
      <c r="E41" s="267"/>
      <c r="F41" s="243" t="s">
        <v>133</v>
      </c>
      <c r="G41" s="243"/>
      <c r="H41" s="267"/>
      <c r="I41" s="267"/>
      <c r="J41" s="267"/>
      <c r="K41" s="82"/>
      <c r="L41" s="243" t="s">
        <v>134</v>
      </c>
      <c r="M41" s="243"/>
      <c r="N41" s="148" t="str">
        <f>IF(AND(H41="ASME I",AND(L22&gt;15,L22&lt;=70)),T43,IF(AND(H41="ASME I",AND(L22&gt;70,L22&lt;=300)),T44,IF(AND(H41="ASME I",AND(L22&gt;300,L22&lt;=1000)),T45,IF(AND(H41="ASME I",L22&gt;1000),T46,IF(AND(H41="ASME VIII",AND(L22&gt;15,L22&lt;=70)),V43,IF(AND(H41="ASME VIII",L22&gt;70),V44,"-"))))))</f>
        <v>-</v>
      </c>
      <c r="O41" s="145"/>
      <c r="Q41" s="115" t="s">
        <v>135</v>
      </c>
      <c r="R41" s="115" t="s">
        <v>136</v>
      </c>
      <c r="S41" s="333" t="s">
        <v>136</v>
      </c>
      <c r="T41" s="333"/>
      <c r="U41" s="333" t="s">
        <v>137</v>
      </c>
      <c r="V41" s="333"/>
      <c r="W41" s="215" t="s">
        <v>138</v>
      </c>
      <c r="AC41" s="97" t="s">
        <v>139</v>
      </c>
      <c r="AD41" s="97" t="s">
        <v>140</v>
      </c>
      <c r="AE41" s="97" t="s">
        <v>141</v>
      </c>
      <c r="AF41" s="97" t="s">
        <v>142</v>
      </c>
      <c r="AG41" s="183">
        <v>45796</v>
      </c>
      <c r="AH41" s="97" t="s">
        <v>143</v>
      </c>
      <c r="AI41" s="97" t="s">
        <v>144</v>
      </c>
      <c r="AJ41" s="97" t="s">
        <v>111</v>
      </c>
      <c r="AK41" s="134"/>
      <c r="AL41" s="129"/>
      <c r="AM41" s="129"/>
    </row>
    <row r="42" spans="1:39" ht="16.350000000000001" customHeight="1" x14ac:dyDescent="0.3">
      <c r="A42" s="81"/>
      <c r="B42" s="143"/>
      <c r="C42" s="147" t="s">
        <v>145</v>
      </c>
      <c r="D42" s="242"/>
      <c r="E42" s="242"/>
      <c r="F42" s="243" t="s">
        <v>146</v>
      </c>
      <c r="G42" s="243"/>
      <c r="H42" s="244"/>
      <c r="I42" s="244"/>
      <c r="J42" s="244"/>
      <c r="K42" s="82" t="str">
        <f>N22</f>
        <v>psi</v>
      </c>
      <c r="L42" s="243" t="s">
        <v>147</v>
      </c>
      <c r="M42" s="243"/>
      <c r="N42" s="148"/>
      <c r="O42" s="145"/>
      <c r="Q42" s="13" t="s">
        <v>148</v>
      </c>
      <c r="R42" s="115" t="s">
        <v>137</v>
      </c>
      <c r="S42" s="118" t="s">
        <v>149</v>
      </c>
      <c r="T42" s="118" t="s">
        <v>150</v>
      </c>
      <c r="U42" s="118" t="s">
        <v>149</v>
      </c>
      <c r="V42" s="118" t="s">
        <v>150</v>
      </c>
      <c r="W42" s="118" t="s">
        <v>151</v>
      </c>
      <c r="AC42" s="21"/>
      <c r="AD42" s="21"/>
      <c r="AE42" s="21"/>
      <c r="AF42" s="21"/>
      <c r="AG42" s="134"/>
      <c r="AH42" s="134"/>
      <c r="AI42" s="129"/>
      <c r="AJ42" s="149"/>
      <c r="AK42" s="134"/>
      <c r="AL42" s="129"/>
      <c r="AM42" s="129"/>
    </row>
    <row r="43" spans="1:39" ht="5.0999999999999996" customHeight="1" thickBot="1" x14ac:dyDescent="0.35">
      <c r="A43" s="81"/>
      <c r="B43" s="150"/>
      <c r="C43" s="151"/>
      <c r="D43" s="151"/>
      <c r="E43" s="151"/>
      <c r="F43" s="152"/>
      <c r="G43" s="151"/>
      <c r="H43" s="151"/>
      <c r="I43" s="153"/>
      <c r="J43" s="153"/>
      <c r="K43" s="153"/>
      <c r="L43" s="153"/>
      <c r="M43" s="153"/>
      <c r="N43" s="153"/>
      <c r="O43" s="154"/>
      <c r="Q43" s="25"/>
      <c r="R43" s="25"/>
      <c r="S43" s="118" t="s">
        <v>152</v>
      </c>
      <c r="T43" s="159" t="s">
        <v>153</v>
      </c>
      <c r="U43" s="97" t="s">
        <v>154</v>
      </c>
      <c r="V43" s="130" t="s">
        <v>153</v>
      </c>
      <c r="AB43" s="25"/>
      <c r="AK43" s="134"/>
      <c r="AL43" s="134"/>
      <c r="AM43" s="129"/>
    </row>
    <row r="44" spans="1:39" ht="18" customHeight="1" thickBot="1" x14ac:dyDescent="0.35">
      <c r="A44" s="81"/>
      <c r="B44" s="249" t="s">
        <v>155</v>
      </c>
      <c r="C44" s="250"/>
      <c r="D44" s="250"/>
      <c r="E44" s="250"/>
      <c r="F44" s="250"/>
      <c r="G44" s="250"/>
      <c r="H44" s="250"/>
      <c r="I44" s="250"/>
      <c r="J44" s="250"/>
      <c r="K44" s="250"/>
      <c r="L44" s="250"/>
      <c r="M44" s="250"/>
      <c r="N44" s="250"/>
      <c r="O44" s="251"/>
      <c r="Q44" s="25"/>
      <c r="R44" s="126"/>
      <c r="S44" s="118" t="s">
        <v>156</v>
      </c>
      <c r="T44" s="161" t="s">
        <v>157</v>
      </c>
      <c r="U44" s="97" t="s">
        <v>158</v>
      </c>
      <c r="V44" s="161" t="s">
        <v>157</v>
      </c>
      <c r="W44" s="126"/>
      <c r="X44" s="126"/>
      <c r="Y44" s="126"/>
      <c r="Z44" s="126"/>
      <c r="AA44" s="126"/>
      <c r="AC44" s="25"/>
      <c r="AD44" s="25"/>
      <c r="AE44" s="25"/>
      <c r="AF44" s="25"/>
      <c r="AG44" s="25"/>
      <c r="AH44" s="25"/>
      <c r="AI44" s="25"/>
      <c r="AJ44" s="25"/>
      <c r="AK44" s="134"/>
      <c r="AL44" s="134"/>
      <c r="AM44" s="129"/>
    </row>
    <row r="45" spans="1:39" ht="5.0999999999999996" customHeight="1" x14ac:dyDescent="0.3">
      <c r="A45" s="81"/>
      <c r="B45" s="201"/>
      <c r="C45" s="202"/>
      <c r="D45" s="203"/>
      <c r="E45" s="203"/>
      <c r="F45" s="203"/>
      <c r="G45" s="203"/>
      <c r="H45" s="203"/>
      <c r="I45" s="203"/>
      <c r="J45" s="203"/>
      <c r="K45" s="202"/>
      <c r="L45" s="204"/>
      <c r="M45" s="204"/>
      <c r="N45" s="204"/>
      <c r="O45" s="205"/>
      <c r="Q45" s="25"/>
      <c r="S45" s="118" t="s">
        <v>159</v>
      </c>
      <c r="T45" s="130" t="s">
        <v>160</v>
      </c>
      <c r="V45" s="138"/>
      <c r="Y45" s="138"/>
      <c r="Z45" s="138"/>
      <c r="AA45" s="127"/>
    </row>
    <row r="46" spans="1:39" ht="16.350000000000001" customHeight="1" x14ac:dyDescent="0.3">
      <c r="A46" s="81"/>
      <c r="B46" s="206"/>
      <c r="C46" s="155"/>
      <c r="D46" s="155"/>
      <c r="E46" s="155"/>
      <c r="F46" s="252" t="s">
        <v>161</v>
      </c>
      <c r="G46" s="252"/>
      <c r="H46" s="144"/>
      <c r="I46" s="144"/>
      <c r="J46" s="252" t="s">
        <v>162</v>
      </c>
      <c r="K46" s="252"/>
      <c r="L46" s="252" t="s">
        <v>163</v>
      </c>
      <c r="M46" s="252"/>
      <c r="N46" s="207"/>
      <c r="O46" s="208"/>
      <c r="Q46" s="25"/>
      <c r="S46" s="118">
        <v>1000</v>
      </c>
      <c r="T46" s="161" t="s">
        <v>164</v>
      </c>
      <c r="V46" s="156"/>
      <c r="Y46" s="156"/>
      <c r="Z46" s="157"/>
      <c r="AA46" s="158"/>
      <c r="AC46" s="84"/>
      <c r="AD46" s="84"/>
      <c r="AE46" s="84"/>
      <c r="AF46" s="84"/>
      <c r="AG46" s="84"/>
      <c r="AH46" s="84"/>
      <c r="AI46" s="84"/>
      <c r="AJ46" s="84"/>
    </row>
    <row r="47" spans="1:39" ht="16.350000000000001" customHeight="1" x14ac:dyDescent="0.3">
      <c r="A47" s="81"/>
      <c r="B47" s="206"/>
      <c r="C47" s="243" t="s">
        <v>165</v>
      </c>
      <c r="D47" s="243"/>
      <c r="E47" s="209"/>
      <c r="F47" s="253">
        <f>'DATOS INCERTIDUMBRE'!C3</f>
        <v>0</v>
      </c>
      <c r="G47" s="253"/>
      <c r="H47" s="217"/>
      <c r="I47" s="217"/>
      <c r="J47" s="253">
        <f>'DATOS INCERTIDUMBRE'!E3</f>
        <v>0</v>
      </c>
      <c r="K47" s="253"/>
      <c r="L47" s="254" t="s">
        <v>166</v>
      </c>
      <c r="M47" s="254"/>
      <c r="N47" s="210"/>
      <c r="O47" s="208"/>
      <c r="Q47" s="25"/>
      <c r="V47" s="156"/>
      <c r="Y47" s="156"/>
      <c r="Z47" s="157"/>
      <c r="AA47" s="158"/>
    </row>
    <row r="48" spans="1:39" ht="16.350000000000001" customHeight="1" x14ac:dyDescent="0.3">
      <c r="A48" s="81"/>
      <c r="B48" s="143"/>
      <c r="C48" s="247" t="s">
        <v>167</v>
      </c>
      <c r="D48" s="247"/>
      <c r="E48" s="209"/>
      <c r="F48" s="248">
        <f>'DATOS INCERTIDUMBRE'!C5</f>
        <v>0</v>
      </c>
      <c r="G48" s="248"/>
      <c r="H48" s="216"/>
      <c r="I48" s="216"/>
      <c r="J48" s="248">
        <f>'DATOS INCERTIDUMBRE'!E5</f>
        <v>0</v>
      </c>
      <c r="K48" s="248"/>
      <c r="L48" s="254" t="s">
        <v>168</v>
      </c>
      <c r="M48" s="254"/>
      <c r="N48" s="207"/>
      <c r="O48" s="145"/>
      <c r="Q48" s="25"/>
      <c r="V48" s="160"/>
      <c r="Y48" s="160"/>
    </row>
    <row r="49" spans="1:32" ht="16.350000000000001" customHeight="1" x14ac:dyDescent="0.3">
      <c r="A49" s="81"/>
      <c r="B49" s="143"/>
      <c r="C49" s="247" t="s">
        <v>169</v>
      </c>
      <c r="D49" s="247"/>
      <c r="E49" s="209"/>
      <c r="F49" s="253">
        <f>'DATOS INCERTIDUMBRE'!C4</f>
        <v>0</v>
      </c>
      <c r="G49" s="253"/>
      <c r="H49" s="217"/>
      <c r="I49" s="217"/>
      <c r="J49" s="253">
        <f>'DATOS INCERTIDUMBRE'!E4</f>
        <v>0</v>
      </c>
      <c r="K49" s="253"/>
      <c r="L49" s="312" t="s">
        <v>170</v>
      </c>
      <c r="M49" s="312"/>
      <c r="N49" s="155"/>
      <c r="O49" s="145"/>
      <c r="V49" s="160"/>
      <c r="W49" s="25"/>
      <c r="X49" s="25"/>
      <c r="Y49" s="85"/>
    </row>
    <row r="50" spans="1:32" ht="5.0999999999999996" customHeight="1" thickBot="1" x14ac:dyDescent="0.35">
      <c r="A50" s="81"/>
      <c r="B50" s="143"/>
      <c r="C50" s="91"/>
      <c r="D50" s="91"/>
      <c r="E50" s="81"/>
      <c r="F50" s="211"/>
      <c r="G50" s="211"/>
      <c r="H50" s="81"/>
      <c r="I50" s="211"/>
      <c r="J50" s="155"/>
      <c r="K50" s="155"/>
      <c r="L50" s="212"/>
      <c r="M50" s="212"/>
      <c r="N50" s="155"/>
      <c r="O50" s="145"/>
      <c r="V50" s="160"/>
      <c r="W50" s="25"/>
      <c r="X50" s="25"/>
      <c r="Y50" s="85"/>
    </row>
    <row r="51" spans="1:32" ht="18" customHeight="1" thickBot="1" x14ac:dyDescent="0.35">
      <c r="A51" s="81"/>
      <c r="B51" s="255" t="s">
        <v>171</v>
      </c>
      <c r="C51" s="256"/>
      <c r="D51" s="256"/>
      <c r="E51" s="256"/>
      <c r="F51" s="256"/>
      <c r="G51" s="256"/>
      <c r="H51" s="256"/>
      <c r="I51" s="256"/>
      <c r="J51" s="256"/>
      <c r="K51" s="256"/>
      <c r="L51" s="256"/>
      <c r="M51" s="256"/>
      <c r="N51" s="256"/>
      <c r="O51" s="257"/>
      <c r="Q51" s="25"/>
      <c r="V51" s="160"/>
      <c r="W51" s="25"/>
      <c r="X51" s="25"/>
      <c r="Y51" s="85"/>
    </row>
    <row r="52" spans="1:32" ht="5.0999999999999996" customHeight="1" x14ac:dyDescent="0.3">
      <c r="A52" s="81"/>
      <c r="B52" s="213"/>
      <c r="C52" s="211"/>
      <c r="D52" s="211"/>
      <c r="E52" s="211"/>
      <c r="F52" s="211"/>
      <c r="G52" s="211"/>
      <c r="H52" s="211"/>
      <c r="I52" s="211"/>
      <c r="J52" s="211"/>
      <c r="K52" s="211"/>
      <c r="L52" s="211"/>
      <c r="M52" s="211"/>
      <c r="N52" s="211"/>
      <c r="O52" s="214"/>
      <c r="Q52" s="25"/>
      <c r="R52" s="146"/>
      <c r="S52" s="160"/>
      <c r="T52" s="134"/>
      <c r="U52" s="162"/>
      <c r="V52" s="160"/>
      <c r="W52" s="25"/>
      <c r="X52" s="25"/>
      <c r="Y52" s="85"/>
    </row>
    <row r="53" spans="1:32" ht="16.350000000000001" customHeight="1" x14ac:dyDescent="0.3">
      <c r="A53" s="81"/>
      <c r="B53" s="143"/>
      <c r="C53" s="81"/>
      <c r="D53" s="363" t="s">
        <v>172</v>
      </c>
      <c r="E53" s="363"/>
      <c r="F53" s="363"/>
      <c r="G53" s="363" t="s">
        <v>173</v>
      </c>
      <c r="H53" s="363"/>
      <c r="I53" s="364" t="s">
        <v>163</v>
      </c>
      <c r="J53" s="364"/>
      <c r="K53" s="329" t="s">
        <v>174</v>
      </c>
      <c r="L53" s="330"/>
      <c r="M53" s="331"/>
      <c r="N53" s="81"/>
      <c r="O53" s="145"/>
      <c r="Q53" s="97" t="s">
        <v>175</v>
      </c>
      <c r="R53" s="118" t="str">
        <f>IF(AND(H41="ASME I",AND(L22&gt;=15,L22&lt;=70)),L22+2,IF(AND(H41="ASME I",AND(L22&gt;70,L22&lt;=300)),L22+(L22*0.03),IF(AND(H41="ASME I",AND(L22&gt;300,L22&lt;=1000)),L22+10,IF(AND(H41="ASME I",L22&gt;1000),L22+(L22*0.01),IF(AND(H41="ASME VIII",AND(L22&gt;=15,L22&lt;=70)),L22+2,IF(AND(H41="ASME VIII",L22&gt;70),L22+(L22*0.03),"-"))))))</f>
        <v>-</v>
      </c>
      <c r="S53" s="240" t="s">
        <v>176</v>
      </c>
      <c r="T53" s="351">
        <f>ABS(ROUND(D54*0.01,2))</f>
        <v>0</v>
      </c>
      <c r="V53" s="19"/>
      <c r="W53" s="25"/>
    </row>
    <row r="54" spans="1:32" ht="16.350000000000001" customHeight="1" x14ac:dyDescent="0.3">
      <c r="A54" s="81"/>
      <c r="B54" s="143"/>
      <c r="C54" s="81"/>
      <c r="D54" s="313">
        <f>'DATOS INCERTIDUMBRE'!D17</f>
        <v>0</v>
      </c>
      <c r="E54" s="313"/>
      <c r="F54" s="313"/>
      <c r="G54" s="313" t="e">
        <f>IF(AND(L22&gt;=15,L22&lt;=180,'CÁLCULO INCERTIDUMBRE'!C8&lt;0.3),0.3,IF(AND(L22&gt;180,L22&lt;=750,'CÁLCULO INCERTIDUMBRE'!C8&lt;1.7),1.7,IF(AND(L22&gt;750,L22&lt;=1290,'CÁLCULO INCERTIDUMBRE'!C8&lt;2.5),2.5,IF(AND(L22&gt;1290,L22&lt;=3000,'CÁLCULO INCERTIDUMBRE'!C8&lt;3.7),3.7,'CÁLCULO INCERTIDUMBRE'!C8))))</f>
        <v>#DIV/0!</v>
      </c>
      <c r="H54" s="313"/>
      <c r="I54" s="314" t="str">
        <f>N22</f>
        <v>psi</v>
      </c>
      <c r="J54" s="314"/>
      <c r="K54" s="315" t="e">
        <f>IF(AND(D54&lt;=R53,D54&gt;=R54,G54&lt;=T53),"CUMPLE","NO CUMPLE")</f>
        <v>#DIV/0!</v>
      </c>
      <c r="L54" s="244"/>
      <c r="M54" s="316"/>
      <c r="N54" s="81"/>
      <c r="O54" s="145"/>
      <c r="Q54" s="97" t="s">
        <v>177</v>
      </c>
      <c r="R54" s="118" t="str">
        <f>IF(AND(H41="ASME I",AND(L22&gt;=15,L22&lt;=70)),L22-2,IF(AND(H41="ASME I",AND(L22&gt;70,L22&lt;=300)),L22-(L22*0.03),IF(AND(H41="ASME I",AND(L22&gt;300,L22&lt;=1000)),L22-10,IF(AND(H41="ASME I",L22&gt;1000),L22-(L22*0.01),IF(AND(H41="ASME VIII",AND(L22&gt;=15,L22&lt;=70)),L22-2,IF(AND(H41="ASME VIII",L22&gt;70),L22-(L22*0.03),"-"))))))</f>
        <v>-</v>
      </c>
      <c r="S54" s="240"/>
      <c r="T54" s="352"/>
      <c r="V54" s="19"/>
    </row>
    <row r="55" spans="1:32" ht="5.0999999999999996" customHeight="1" x14ac:dyDescent="0.3">
      <c r="A55" s="81"/>
      <c r="B55" s="143"/>
      <c r="C55" s="81"/>
      <c r="D55" s="81"/>
      <c r="E55" s="81"/>
      <c r="F55" s="81"/>
      <c r="G55" s="81"/>
      <c r="H55" s="81"/>
      <c r="I55" s="81"/>
      <c r="J55" s="81"/>
      <c r="K55" s="81"/>
      <c r="L55" s="81"/>
      <c r="M55" s="81"/>
      <c r="N55" s="81"/>
      <c r="O55" s="145"/>
      <c r="Q55" s="25"/>
      <c r="R55" s="198"/>
      <c r="S55" s="199"/>
      <c r="Z55" s="164"/>
      <c r="AA55" s="165"/>
    </row>
    <row r="56" spans="1:32" ht="16.350000000000001" customHeight="1" x14ac:dyDescent="0.3">
      <c r="A56" s="81"/>
      <c r="B56" s="143"/>
      <c r="C56" s="258" t="e">
        <f>_xlfn.CONCAT("La incertidumbre de medición expandida reportada es evaluada como la incertidumbre estándar de la medida multiplicada por un factor de cobertura k = ",R56,", con una probabilidad de cobertura aproximadamente del 95 %" )</f>
        <v>#DIV/0!</v>
      </c>
      <c r="D56" s="258"/>
      <c r="E56" s="258"/>
      <c r="F56" s="258"/>
      <c r="G56" s="258"/>
      <c r="H56" s="258"/>
      <c r="I56" s="258"/>
      <c r="J56" s="258"/>
      <c r="K56" s="258"/>
      <c r="L56" s="258"/>
      <c r="M56" s="258"/>
      <c r="N56" s="258"/>
      <c r="O56" s="145"/>
      <c r="Q56" s="166" t="s">
        <v>178</v>
      </c>
      <c r="R56" s="219" t="e">
        <f>ROUNDUP('CÁLCULO INCERTIDUMBRE'!B8,2)</f>
        <v>#DIV/0!</v>
      </c>
      <c r="S56" s="200"/>
      <c r="T56" s="19"/>
      <c r="Z56" s="164"/>
      <c r="AA56" s="165"/>
    </row>
    <row r="57" spans="1:32" ht="16.350000000000001" customHeight="1" x14ac:dyDescent="0.3">
      <c r="A57" s="81"/>
      <c r="B57" s="143"/>
      <c r="C57" s="258"/>
      <c r="D57" s="258"/>
      <c r="E57" s="258"/>
      <c r="F57" s="258"/>
      <c r="G57" s="258"/>
      <c r="H57" s="258"/>
      <c r="I57" s="258"/>
      <c r="J57" s="258"/>
      <c r="K57" s="258"/>
      <c r="L57" s="258"/>
      <c r="M57" s="258"/>
      <c r="N57" s="258"/>
      <c r="O57" s="145"/>
      <c r="S57" s="200"/>
      <c r="T57" s="19"/>
      <c r="U57" s="19"/>
      <c r="W57" s="163"/>
      <c r="X57" s="25"/>
      <c r="Z57" s="164"/>
      <c r="AA57" s="165"/>
    </row>
    <row r="58" spans="1:32" ht="20.100000000000001" customHeight="1" x14ac:dyDescent="0.3">
      <c r="A58" s="81"/>
      <c r="B58" s="143"/>
      <c r="C58" s="258" t="str">
        <f>IF(H41="ASME VIII",_xlfn.CONCAT(S58,Q59,S59),_xlfn.CONCAT(S58,Q58,S59))</f>
        <v>Los resultados de conformidad aplican para la presión de escape. La presión de escape no debe exceder la especificación establecida en ASME SEC. I parágrafo 72.2 de acuerdo con el set de presión tomado de la placa del fabricante. Adicionalmente, la incertidumbre de medición no debe ser mayor al ±1,0 % del valor medido, conforme a lo establecido en el numeral 1-3 de ASME PTC 25-2023.</v>
      </c>
      <c r="D58" s="258"/>
      <c r="E58" s="258"/>
      <c r="F58" s="258"/>
      <c r="G58" s="258"/>
      <c r="H58" s="258"/>
      <c r="I58" s="258"/>
      <c r="J58" s="258"/>
      <c r="K58" s="258"/>
      <c r="L58" s="258"/>
      <c r="M58" s="258"/>
      <c r="N58" s="258"/>
      <c r="O58" s="145"/>
      <c r="Q58" t="s">
        <v>179</v>
      </c>
      <c r="R58" s="198"/>
      <c r="S58" s="25" t="s">
        <v>180</v>
      </c>
      <c r="T58" s="19"/>
      <c r="W58" s="138"/>
      <c r="X58" s="25"/>
      <c r="Z58" s="164"/>
      <c r="AA58" s="165"/>
    </row>
    <row r="59" spans="1:32" ht="20.100000000000001" customHeight="1" x14ac:dyDescent="0.3">
      <c r="A59" s="81"/>
      <c r="B59" s="143"/>
      <c r="C59" s="258"/>
      <c r="D59" s="258"/>
      <c r="E59" s="258"/>
      <c r="F59" s="258"/>
      <c r="G59" s="258"/>
      <c r="H59" s="258"/>
      <c r="I59" s="258"/>
      <c r="J59" s="258"/>
      <c r="K59" s="258"/>
      <c r="L59" s="258"/>
      <c r="M59" s="258"/>
      <c r="N59" s="258"/>
      <c r="O59" s="145"/>
      <c r="Q59" t="s">
        <v>181</v>
      </c>
      <c r="S59" s="25" t="s">
        <v>182</v>
      </c>
      <c r="T59" s="19"/>
      <c r="W59" s="138"/>
      <c r="X59" s="25"/>
      <c r="Z59" s="164"/>
      <c r="AA59" s="165"/>
    </row>
    <row r="60" spans="1:32" ht="5.0999999999999996" customHeight="1" thickBot="1" x14ac:dyDescent="0.35">
      <c r="A60" s="81"/>
      <c r="B60" s="353"/>
      <c r="C60" s="354"/>
      <c r="D60" s="354"/>
      <c r="E60" s="354"/>
      <c r="F60" s="354"/>
      <c r="G60" s="354"/>
      <c r="H60" s="354"/>
      <c r="I60" s="354"/>
      <c r="J60" s="354"/>
      <c r="K60" s="354"/>
      <c r="L60" s="354"/>
      <c r="M60" s="354"/>
      <c r="N60" s="354"/>
      <c r="O60" s="355"/>
      <c r="R60" s="25"/>
      <c r="S60" s="25"/>
      <c r="T60" s="25"/>
      <c r="U60" s="25"/>
      <c r="V60" s="138"/>
      <c r="W60" s="25"/>
      <c r="X60" s="25"/>
      <c r="Y60" s="138"/>
      <c r="Z60" s="138"/>
      <c r="AA60" s="127"/>
      <c r="AB60" s="127"/>
      <c r="AC60" s="127"/>
      <c r="AD60" s="138"/>
      <c r="AE60" s="25"/>
      <c r="AF60" s="25"/>
    </row>
    <row r="61" spans="1:32" ht="18" customHeight="1" thickBot="1" x14ac:dyDescent="0.35">
      <c r="A61" s="81"/>
      <c r="B61" s="259" t="s">
        <v>183</v>
      </c>
      <c r="C61" s="260"/>
      <c r="D61" s="260"/>
      <c r="E61" s="260"/>
      <c r="F61" s="260"/>
      <c r="G61" s="260"/>
      <c r="H61" s="260"/>
      <c r="I61" s="249" t="s">
        <v>184</v>
      </c>
      <c r="J61" s="250"/>
      <c r="K61" s="250"/>
      <c r="L61" s="250"/>
      <c r="M61" s="250"/>
      <c r="N61" s="250"/>
      <c r="O61" s="251"/>
      <c r="Q61" s="25"/>
      <c r="T61" s="25"/>
      <c r="U61" s="25"/>
      <c r="V61" s="25"/>
      <c r="W61" s="25"/>
      <c r="X61" s="25"/>
      <c r="Y61" s="25"/>
      <c r="Z61" s="25"/>
      <c r="AA61" s="25"/>
      <c r="AB61" s="25"/>
      <c r="AC61" s="25"/>
      <c r="AD61" s="25"/>
      <c r="AE61" s="25"/>
      <c r="AF61" s="25"/>
    </row>
    <row r="62" spans="1:32" ht="168" customHeight="1" thickBot="1" x14ac:dyDescent="0.35">
      <c r="A62" s="81"/>
      <c r="B62" s="261"/>
      <c r="C62" s="262"/>
      <c r="D62" s="262"/>
      <c r="E62" s="262"/>
      <c r="F62" s="262"/>
      <c r="G62" s="262"/>
      <c r="H62" s="263"/>
      <c r="I62" s="309"/>
      <c r="J62" s="310"/>
      <c r="K62" s="310"/>
      <c r="L62" s="310"/>
      <c r="M62" s="310"/>
      <c r="N62" s="310"/>
      <c r="O62" s="311"/>
      <c r="Q62" s="25"/>
      <c r="S62" s="32"/>
      <c r="U62" s="32"/>
      <c r="V62" s="25"/>
      <c r="W62" s="25"/>
      <c r="X62" s="25"/>
      <c r="Y62" s="25"/>
      <c r="Z62" s="25"/>
      <c r="AA62" s="25"/>
      <c r="AB62" s="25"/>
      <c r="AC62" s="25"/>
      <c r="AD62" s="25"/>
      <c r="AE62" s="25"/>
      <c r="AF62" s="25"/>
    </row>
    <row r="63" spans="1:32" ht="118.2" customHeight="1" x14ac:dyDescent="0.3">
      <c r="A63" s="113"/>
      <c r="B63" s="319" t="s">
        <v>185</v>
      </c>
      <c r="C63" s="320"/>
      <c r="D63" s="320"/>
      <c r="E63" s="320"/>
      <c r="F63" s="320"/>
      <c r="G63" s="320"/>
      <c r="H63" s="320"/>
      <c r="I63" s="320"/>
      <c r="J63" s="320"/>
      <c r="K63" s="320"/>
      <c r="L63" s="320"/>
      <c r="M63" s="320"/>
      <c r="N63" s="320"/>
      <c r="O63" s="321"/>
      <c r="Q63" s="25"/>
      <c r="R63" s="223" t="s">
        <v>186</v>
      </c>
      <c r="S63" s="223" t="s">
        <v>187</v>
      </c>
      <c r="T63" s="223" t="s">
        <v>188</v>
      </c>
      <c r="V63" s="223"/>
      <c r="W63" s="223"/>
      <c r="X63" s="25"/>
      <c r="Y63" s="25"/>
      <c r="Z63" s="25"/>
      <c r="AA63" s="25"/>
      <c r="AB63" s="25"/>
      <c r="AC63" s="25"/>
      <c r="AD63" s="25"/>
      <c r="AE63" s="25"/>
      <c r="AF63" s="25"/>
    </row>
    <row r="64" spans="1:32" ht="27" customHeight="1" x14ac:dyDescent="0.3">
      <c r="A64" s="113"/>
      <c r="B64" s="322" t="str">
        <f>+_xlfn.CONCAT("- Descargo de responsabilidad condiciones del vapor como fluido de prueba: Las condiciones de temperatura y presión ","(",'DATOS INCERTIDUMBRE'!I4," °C, ",'DATOS INCERTIDUMBRE'!I3," psi)"," del vapor son dadas por el cliente. Con esta información y haciendo uso de tablas termodinámicas, se determina la densidad del vapor. Por lo anterior VALSER S.A.S no se hace responsable de la información de temperatura y presión suministradas.")</f>
        <v>- Descargo de responsabilidad condiciones del vapor como fluido de prueba: Las condiciones de temperatura y presión (0 °C, 0 psi) del vapor son dadas por el cliente. Con esta información y haciendo uso de tablas termodinámicas, se determina la densidad del vapor. Por lo anterior VALSER S.A.S no se hace responsable de la información de temperatura y presión suministradas.</v>
      </c>
      <c r="C64" s="323"/>
      <c r="D64" s="323"/>
      <c r="E64" s="323"/>
      <c r="F64" s="323"/>
      <c r="G64" s="323"/>
      <c r="H64" s="323"/>
      <c r="I64" s="323"/>
      <c r="J64" s="323"/>
      <c r="K64" s="323"/>
      <c r="L64" s="323"/>
      <c r="M64" s="323"/>
      <c r="N64" s="323"/>
      <c r="O64" s="324"/>
      <c r="Q64" s="25"/>
      <c r="R64" s="223"/>
      <c r="S64" s="223"/>
      <c r="T64" s="223"/>
      <c r="V64" s="223"/>
      <c r="W64" s="223"/>
      <c r="X64" s="25"/>
      <c r="Y64" s="25"/>
      <c r="Z64" s="25"/>
      <c r="AA64" s="25"/>
      <c r="AB64" s="25"/>
      <c r="AC64" s="25"/>
      <c r="AD64" s="25"/>
      <c r="AE64" s="25"/>
      <c r="AF64" s="25"/>
    </row>
    <row r="65" spans="1:32" s="224" customFormat="1" ht="24.6" customHeight="1" x14ac:dyDescent="0.3">
      <c r="A65" s="174"/>
      <c r="B65" s="322"/>
      <c r="C65" s="323"/>
      <c r="D65" s="323"/>
      <c r="E65" s="323"/>
      <c r="F65" s="323"/>
      <c r="G65" s="323"/>
      <c r="H65" s="323"/>
      <c r="I65" s="323"/>
      <c r="J65" s="323"/>
      <c r="K65" s="323"/>
      <c r="L65" s="323"/>
      <c r="M65" s="323"/>
      <c r="N65" s="323"/>
      <c r="O65" s="324"/>
      <c r="P65" s="245" t="s">
        <v>189</v>
      </c>
      <c r="Q65" s="246"/>
      <c r="R65" s="225"/>
      <c r="S65" s="225"/>
      <c r="T65" s="225"/>
      <c r="U65" s="225"/>
      <c r="V65" s="225"/>
      <c r="W65" s="225"/>
      <c r="X65" s="225"/>
      <c r="Y65" s="225"/>
      <c r="Z65" s="225"/>
      <c r="AA65" s="225"/>
      <c r="AB65" s="225"/>
      <c r="AC65" s="225"/>
      <c r="AD65" s="225"/>
      <c r="AE65" s="225"/>
      <c r="AF65" s="225"/>
    </row>
    <row r="66" spans="1:32" s="224" customFormat="1" ht="24.6" customHeight="1" x14ac:dyDescent="0.3">
      <c r="A66" s="174"/>
      <c r="B66" s="322"/>
      <c r="C66" s="323"/>
      <c r="D66" s="323"/>
      <c r="E66" s="323"/>
      <c r="F66" s="323"/>
      <c r="G66" s="323"/>
      <c r="H66" s="323"/>
      <c r="I66" s="323"/>
      <c r="J66" s="323"/>
      <c r="K66" s="323"/>
      <c r="L66" s="323"/>
      <c r="M66" s="323"/>
      <c r="N66" s="323"/>
      <c r="O66" s="324"/>
      <c r="P66" s="245"/>
      <c r="Q66" s="246"/>
      <c r="R66" s="225"/>
      <c r="S66" s="225"/>
      <c r="T66" s="225"/>
      <c r="U66" s="225"/>
      <c r="V66" s="225"/>
      <c r="W66" s="225"/>
      <c r="X66" s="225"/>
      <c r="Y66" s="225"/>
      <c r="Z66" s="225"/>
      <c r="AA66" s="225"/>
      <c r="AB66" s="225"/>
      <c r="AC66" s="225"/>
      <c r="AD66" s="225"/>
      <c r="AE66" s="225"/>
      <c r="AF66" s="225"/>
    </row>
    <row r="67" spans="1:32" ht="15" customHeight="1" thickBot="1" x14ac:dyDescent="0.35">
      <c r="A67" s="81"/>
      <c r="B67" s="264"/>
      <c r="C67" s="265"/>
      <c r="D67" s="265"/>
      <c r="E67" s="265"/>
      <c r="F67" s="265"/>
      <c r="G67" s="265"/>
      <c r="H67" s="265"/>
      <c r="I67" s="265"/>
      <c r="J67" s="265"/>
      <c r="K67" s="265"/>
      <c r="L67" s="265"/>
      <c r="M67" s="265"/>
      <c r="N67" s="265"/>
      <c r="O67" s="266"/>
      <c r="Q67" s="25"/>
      <c r="R67" s="25"/>
      <c r="S67" s="25"/>
      <c r="T67" s="25"/>
      <c r="U67" s="25"/>
      <c r="V67" s="25"/>
      <c r="W67" s="25"/>
      <c r="X67" s="25"/>
      <c r="Y67" s="25"/>
      <c r="Z67" s="25"/>
      <c r="AA67" s="25"/>
      <c r="AB67" s="25"/>
      <c r="AC67" s="25"/>
      <c r="AD67" s="25"/>
      <c r="AE67" s="25"/>
      <c r="AF67" s="25"/>
    </row>
    <row r="68" spans="1:32" ht="23.1" customHeight="1" x14ac:dyDescent="0.3">
      <c r="A68" s="81"/>
      <c r="B68" s="86"/>
      <c r="C68" s="87"/>
      <c r="D68" s="87"/>
      <c r="E68" s="87"/>
      <c r="F68" s="87"/>
      <c r="G68" s="87"/>
      <c r="H68" s="87"/>
      <c r="I68" s="87"/>
      <c r="J68" s="87"/>
      <c r="K68" s="87"/>
      <c r="L68" s="88"/>
      <c r="M68" s="88"/>
      <c r="N68" s="88"/>
      <c r="O68" s="89"/>
      <c r="Q68" s="25"/>
      <c r="S68" s="25"/>
      <c r="T68" s="25"/>
      <c r="U68" s="25"/>
      <c r="V68" s="25"/>
      <c r="W68" s="25"/>
      <c r="X68" s="25"/>
      <c r="Y68" s="25"/>
      <c r="Z68" s="25"/>
      <c r="AA68" s="25"/>
      <c r="AB68" s="25"/>
      <c r="AC68" s="25"/>
      <c r="AD68" s="25"/>
      <c r="AE68" s="25"/>
      <c r="AF68" s="25"/>
    </row>
    <row r="69" spans="1:32" ht="23.1" customHeight="1" x14ac:dyDescent="0.3">
      <c r="A69" s="81"/>
      <c r="B69" s="325"/>
      <c r="C69" s="326"/>
      <c r="D69" s="326"/>
      <c r="E69" s="326"/>
      <c r="F69" s="326"/>
      <c r="G69" s="326"/>
      <c r="H69" s="220"/>
      <c r="I69" s="326"/>
      <c r="J69" s="326"/>
      <c r="K69" s="326"/>
      <c r="L69" s="326"/>
      <c r="M69" s="326"/>
      <c r="N69" s="326"/>
      <c r="O69" s="327"/>
      <c r="R69" s="178" t="s">
        <v>190</v>
      </c>
    </row>
    <row r="70" spans="1:32" ht="23.1" customHeight="1" x14ac:dyDescent="0.3">
      <c r="A70" s="81"/>
      <c r="B70" s="167"/>
      <c r="C70" s="98"/>
      <c r="D70" s="98"/>
      <c r="E70" s="98"/>
      <c r="F70" s="221"/>
      <c r="G70" s="221"/>
      <c r="H70" s="221"/>
      <c r="I70" s="221"/>
      <c r="J70" s="221"/>
      <c r="K70" s="221"/>
      <c r="L70" s="168"/>
      <c r="M70" s="168"/>
      <c r="N70" s="168"/>
      <c r="O70" s="117"/>
      <c r="R70" s="179" t="s">
        <v>191</v>
      </c>
    </row>
    <row r="71" spans="1:32" ht="15.6" customHeight="1" x14ac:dyDescent="0.3">
      <c r="A71" s="81"/>
      <c r="B71" s="169"/>
      <c r="C71" s="317" t="s">
        <v>192</v>
      </c>
      <c r="D71" s="317"/>
      <c r="E71" s="317"/>
      <c r="F71" s="222"/>
      <c r="G71" s="317" t="s">
        <v>193</v>
      </c>
      <c r="H71" s="317"/>
      <c r="I71" s="317"/>
      <c r="J71" s="317"/>
      <c r="K71" s="222"/>
      <c r="L71" s="317" t="s">
        <v>194</v>
      </c>
      <c r="M71" s="317"/>
      <c r="N71" s="317"/>
      <c r="O71" s="170"/>
      <c r="R71" s="178" t="s">
        <v>192</v>
      </c>
    </row>
    <row r="72" spans="1:32" ht="15.6" customHeight="1" thickBot="1" x14ac:dyDescent="0.35">
      <c r="A72" s="81"/>
      <c r="B72" s="196"/>
      <c r="C72" s="318" t="s">
        <v>195</v>
      </c>
      <c r="D72" s="318"/>
      <c r="E72" s="318"/>
      <c r="F72" s="171"/>
      <c r="G72" s="318" t="s">
        <v>196</v>
      </c>
      <c r="H72" s="318"/>
      <c r="I72" s="318"/>
      <c r="J72" s="318"/>
      <c r="K72" s="171"/>
      <c r="L72" s="328" t="s">
        <v>197</v>
      </c>
      <c r="M72" s="328"/>
      <c r="N72" s="328"/>
      <c r="O72" s="197"/>
      <c r="R72" s="179" t="s">
        <v>198</v>
      </c>
    </row>
    <row r="73" spans="1:32" ht="15.6" customHeight="1" x14ac:dyDescent="0.3">
      <c r="A73" s="81"/>
      <c r="B73" s="306" t="s">
        <v>199</v>
      </c>
      <c r="C73" s="306"/>
      <c r="D73" s="306"/>
      <c r="E73" s="306"/>
      <c r="F73" s="306"/>
      <c r="G73" s="306"/>
      <c r="H73" s="306"/>
      <c r="I73" s="306"/>
      <c r="J73" s="306"/>
      <c r="K73" s="306"/>
      <c r="L73" s="306"/>
      <c r="M73" s="306"/>
      <c r="N73" s="306"/>
      <c r="O73" s="306"/>
      <c r="R73" s="178" t="s">
        <v>193</v>
      </c>
    </row>
    <row r="74" spans="1:32" ht="15.6" customHeight="1" x14ac:dyDescent="0.3">
      <c r="A74" s="81"/>
      <c r="B74" s="307"/>
      <c r="C74" s="307"/>
      <c r="D74" s="307"/>
      <c r="E74" s="307"/>
      <c r="F74" s="307"/>
      <c r="G74" s="307"/>
      <c r="H74" s="307"/>
      <c r="I74" s="307"/>
      <c r="J74" s="307"/>
      <c r="K74" s="307"/>
      <c r="L74" s="307"/>
      <c r="M74" s="307"/>
      <c r="N74" s="307"/>
      <c r="O74" s="307"/>
      <c r="R74" s="178" t="s">
        <v>194</v>
      </c>
    </row>
    <row r="75" spans="1:32" x14ac:dyDescent="0.3">
      <c r="A75" s="81"/>
      <c r="B75" s="155"/>
      <c r="C75" s="155"/>
      <c r="D75" s="155"/>
      <c r="E75" s="155"/>
      <c r="F75" s="81"/>
      <c r="G75" s="81"/>
      <c r="H75" s="81"/>
      <c r="I75" s="81"/>
      <c r="J75" s="81"/>
      <c r="K75" s="308"/>
      <c r="L75" s="308"/>
      <c r="M75" s="308"/>
      <c r="N75" s="308"/>
      <c r="O75" s="308"/>
      <c r="R75" s="178" t="s">
        <v>200</v>
      </c>
    </row>
    <row r="76" spans="1:32" x14ac:dyDescent="0.3">
      <c r="A76" s="81"/>
      <c r="B76" s="155"/>
      <c r="C76" s="155"/>
      <c r="D76" s="155"/>
      <c r="E76" s="155"/>
      <c r="F76" s="81"/>
      <c r="G76" s="81"/>
      <c r="H76" s="81"/>
      <c r="I76" s="81"/>
      <c r="J76" s="81"/>
      <c r="K76" s="305"/>
      <c r="L76" s="305"/>
      <c r="M76" s="305"/>
      <c r="N76" s="305"/>
      <c r="O76" s="305"/>
      <c r="R76" s="178" t="s">
        <v>201</v>
      </c>
    </row>
    <row r="77" spans="1:32" x14ac:dyDescent="0.3">
      <c r="A77" s="81"/>
      <c r="B77" s="155"/>
      <c r="C77" s="155"/>
      <c r="D77" s="155"/>
      <c r="E77" s="155"/>
      <c r="F77" s="304"/>
      <c r="G77" s="304"/>
      <c r="H77" s="304"/>
      <c r="I77" s="304"/>
      <c r="J77" s="172"/>
      <c r="K77" s="305"/>
      <c r="L77" s="305"/>
      <c r="M77" s="305"/>
      <c r="N77" s="305"/>
      <c r="O77" s="305"/>
    </row>
    <row r="78" spans="1:32" x14ac:dyDescent="0.3">
      <c r="A78" s="81"/>
      <c r="B78" s="155"/>
      <c r="C78" s="155"/>
      <c r="D78" s="155"/>
      <c r="E78" s="155"/>
      <c r="F78" s="304"/>
      <c r="G78" s="304"/>
      <c r="H78" s="304"/>
      <c r="I78" s="304"/>
      <c r="J78" s="172"/>
      <c r="K78" s="305"/>
      <c r="L78" s="305"/>
      <c r="M78" s="305"/>
      <c r="N78" s="305"/>
      <c r="O78" s="305"/>
    </row>
    <row r="79" spans="1:32" x14ac:dyDescent="0.3">
      <c r="A79" s="81"/>
      <c r="B79" s="155"/>
      <c r="C79" s="155"/>
      <c r="D79" s="155"/>
      <c r="E79" s="155"/>
      <c r="F79" s="305"/>
      <c r="G79" s="305"/>
      <c r="H79" s="155"/>
      <c r="I79" s="305"/>
      <c r="J79" s="305"/>
      <c r="K79" s="305"/>
      <c r="L79" s="305"/>
      <c r="M79" s="155"/>
      <c r="N79" s="155"/>
      <c r="O79" s="155"/>
    </row>
    <row r="80" spans="1:32" x14ac:dyDescent="0.3">
      <c r="A80" s="81"/>
      <c r="B80" s="173"/>
      <c r="C80" s="173"/>
      <c r="D80" s="302"/>
      <c r="E80" s="302"/>
      <c r="F80" s="302"/>
      <c r="G80" s="302"/>
      <c r="H80" s="302"/>
      <c r="I80" s="302"/>
      <c r="J80" s="302"/>
      <c r="K80" s="302"/>
      <c r="L80" s="302"/>
      <c r="M80" s="302"/>
      <c r="N80" s="302"/>
      <c r="O80" s="302"/>
    </row>
    <row r="81" spans="1:15" x14ac:dyDescent="0.3">
      <c r="A81" s="81"/>
      <c r="B81" s="81"/>
      <c r="C81" s="81"/>
      <c r="D81" s="303"/>
      <c r="E81" s="303"/>
      <c r="F81" s="303"/>
      <c r="G81" s="303"/>
      <c r="H81" s="303"/>
      <c r="I81" s="303"/>
      <c r="J81" s="303"/>
      <c r="K81" s="303"/>
      <c r="L81" s="303"/>
      <c r="M81" s="303"/>
      <c r="N81" s="303"/>
      <c r="O81" s="303"/>
    </row>
    <row r="82" spans="1:15" x14ac:dyDescent="0.3">
      <c r="A82" s="81"/>
      <c r="B82" s="155"/>
      <c r="C82" s="155"/>
      <c r="D82" s="303"/>
      <c r="E82" s="303"/>
      <c r="F82" s="303"/>
      <c r="G82" s="303"/>
      <c r="H82" s="303"/>
      <c r="I82" s="303"/>
      <c r="J82" s="303"/>
      <c r="K82" s="303"/>
      <c r="L82" s="303"/>
      <c r="M82" s="303"/>
      <c r="N82" s="303"/>
      <c r="O82" s="303"/>
    </row>
    <row r="83" spans="1:15" x14ac:dyDescent="0.3">
      <c r="A83" s="81"/>
      <c r="B83" s="81"/>
      <c r="C83" s="81"/>
      <c r="D83" s="81"/>
      <c r="E83" s="81"/>
      <c r="F83" s="155"/>
      <c r="G83" s="155"/>
      <c r="H83" s="155"/>
      <c r="I83" s="155"/>
      <c r="J83" s="155"/>
      <c r="K83" s="155"/>
      <c r="L83" s="304"/>
      <c r="M83" s="304"/>
      <c r="N83" s="304"/>
      <c r="O83" s="304"/>
    </row>
    <row r="84" spans="1:15" x14ac:dyDescent="0.3">
      <c r="A84" s="81"/>
      <c r="B84" s="155"/>
      <c r="C84" s="155"/>
      <c r="D84" s="155"/>
      <c r="E84" s="155"/>
      <c r="F84" s="155"/>
      <c r="G84" s="155"/>
      <c r="H84" s="155"/>
      <c r="I84" s="155"/>
      <c r="J84" s="155"/>
      <c r="K84" s="155"/>
      <c r="L84" s="172"/>
      <c r="M84" s="172"/>
      <c r="N84" s="172"/>
      <c r="O84" s="155"/>
    </row>
    <row r="85" spans="1:15" x14ac:dyDescent="0.3">
      <c r="A85" s="81"/>
      <c r="B85" s="304"/>
      <c r="C85" s="304"/>
      <c r="D85" s="304"/>
      <c r="E85" s="304"/>
      <c r="F85" s="155"/>
      <c r="G85" s="155"/>
      <c r="H85" s="155"/>
      <c r="I85" s="155"/>
      <c r="J85" s="155"/>
      <c r="K85" s="155"/>
      <c r="L85" s="174"/>
      <c r="M85" s="174"/>
      <c r="N85" s="174"/>
      <c r="O85" s="155"/>
    </row>
    <row r="86" spans="1:15" x14ac:dyDescent="0.3">
      <c r="A86" s="81"/>
      <c r="B86" s="155"/>
      <c r="C86" s="155"/>
      <c r="D86" s="155"/>
      <c r="E86" s="155"/>
      <c r="F86" s="155"/>
      <c r="G86" s="155"/>
      <c r="H86" s="155"/>
      <c r="I86" s="155"/>
      <c r="J86" s="155"/>
      <c r="K86" s="155"/>
      <c r="L86" s="174"/>
      <c r="M86" s="174"/>
      <c r="N86" s="174"/>
      <c r="O86" s="155"/>
    </row>
    <row r="87" spans="1:15" x14ac:dyDescent="0.3">
      <c r="A87" s="81"/>
      <c r="B87" s="301"/>
      <c r="C87" s="301"/>
      <c r="D87" s="301"/>
      <c r="E87" s="301"/>
      <c r="F87" s="155"/>
      <c r="G87" s="155"/>
      <c r="H87" s="155"/>
      <c r="I87" s="155"/>
      <c r="J87" s="155"/>
      <c r="K87" s="155"/>
      <c r="L87" s="174"/>
      <c r="M87" s="174"/>
      <c r="N87" s="174"/>
      <c r="O87" s="155"/>
    </row>
    <row r="88" spans="1:15" x14ac:dyDescent="0.3">
      <c r="A88" s="81"/>
      <c r="B88" s="305"/>
      <c r="C88" s="305"/>
      <c r="D88" s="305"/>
      <c r="E88" s="305"/>
      <c r="F88" s="305"/>
      <c r="G88" s="305"/>
      <c r="H88" s="305"/>
      <c r="I88" s="305"/>
      <c r="J88" s="305"/>
      <c r="K88" s="305"/>
      <c r="L88" s="305"/>
      <c r="M88" s="305"/>
      <c r="N88" s="305"/>
      <c r="O88" s="305"/>
    </row>
    <row r="89" spans="1:15" x14ac:dyDescent="0.3">
      <c r="A89" s="81"/>
      <c r="B89" s="305"/>
      <c r="C89" s="305"/>
      <c r="D89" s="305"/>
      <c r="E89" s="305"/>
      <c r="F89" s="305"/>
      <c r="G89" s="305"/>
      <c r="H89" s="305"/>
      <c r="I89" s="305"/>
      <c r="J89" s="305"/>
      <c r="K89" s="305"/>
      <c r="L89" s="305"/>
      <c r="M89" s="155"/>
      <c r="N89" s="155"/>
      <c r="O89" s="155"/>
    </row>
    <row r="90" spans="1:15" x14ac:dyDescent="0.3">
      <c r="A90" s="81"/>
      <c r="B90" s="81"/>
      <c r="C90" s="81"/>
      <c r="D90" s="81"/>
      <c r="E90" s="81"/>
      <c r="F90" s="155"/>
      <c r="G90" s="155"/>
      <c r="H90" s="155"/>
      <c r="I90" s="155"/>
      <c r="J90" s="155"/>
      <c r="K90" s="155"/>
      <c r="L90" s="175"/>
      <c r="M90" s="175"/>
      <c r="N90" s="175"/>
      <c r="O90" s="155"/>
    </row>
    <row r="91" spans="1:15" x14ac:dyDescent="0.3">
      <c r="A91" s="81"/>
      <c r="B91" s="155"/>
      <c r="C91" s="155"/>
      <c r="D91" s="155"/>
      <c r="E91" s="155"/>
      <c r="F91" s="155"/>
      <c r="G91" s="155"/>
      <c r="H91" s="155"/>
      <c r="I91" s="155"/>
      <c r="J91" s="155"/>
      <c r="K91" s="155"/>
      <c r="L91" s="175"/>
      <c r="M91" s="175"/>
      <c r="N91" s="175"/>
      <c r="O91" s="155"/>
    </row>
    <row r="92" spans="1:15" x14ac:dyDescent="0.3">
      <c r="A92" s="81"/>
      <c r="B92" s="301"/>
      <c r="C92" s="301"/>
      <c r="D92" s="301"/>
      <c r="E92" s="301"/>
      <c r="F92" s="155"/>
      <c r="G92" s="155"/>
      <c r="H92" s="155"/>
      <c r="I92" s="155"/>
      <c r="J92" s="155"/>
      <c r="K92" s="155"/>
      <c r="L92" s="155"/>
      <c r="M92" s="155"/>
      <c r="N92" s="155"/>
      <c r="O92" s="155"/>
    </row>
    <row r="93" spans="1:15" x14ac:dyDescent="0.3">
      <c r="A93" s="81"/>
      <c r="B93" s="155"/>
      <c r="C93" s="155"/>
      <c r="D93" s="155"/>
      <c r="E93" s="155"/>
      <c r="F93" s="155"/>
      <c r="G93" s="155"/>
      <c r="H93" s="155"/>
      <c r="I93" s="155"/>
      <c r="J93" s="155"/>
      <c r="K93" s="155"/>
      <c r="L93" s="175"/>
      <c r="M93" s="175"/>
      <c r="N93" s="175"/>
      <c r="O93" s="155"/>
    </row>
    <row r="94" spans="1:15" x14ac:dyDescent="0.3">
      <c r="A94" s="81"/>
      <c r="B94" s="301"/>
      <c r="C94" s="301"/>
      <c r="D94" s="301"/>
      <c r="E94" s="301"/>
      <c r="F94" s="155"/>
      <c r="G94" s="155"/>
      <c r="H94" s="155"/>
      <c r="I94" s="155"/>
      <c r="J94" s="155"/>
      <c r="K94" s="155"/>
      <c r="L94" s="155"/>
      <c r="M94" s="155"/>
      <c r="N94" s="155"/>
      <c r="O94" s="155"/>
    </row>
    <row r="95" spans="1:15" x14ac:dyDescent="0.3">
      <c r="A95" s="81"/>
      <c r="B95" s="155"/>
      <c r="C95" s="155"/>
      <c r="D95" s="155"/>
      <c r="E95" s="155"/>
      <c r="F95" s="155"/>
      <c r="G95" s="155"/>
      <c r="H95" s="155"/>
      <c r="I95" s="155"/>
      <c r="J95" s="155"/>
      <c r="K95" s="155"/>
      <c r="L95" s="175"/>
      <c r="M95" s="175"/>
      <c r="N95" s="175"/>
      <c r="O95" s="155"/>
    </row>
  </sheetData>
  <sheetProtection algorithmName="SHA-512" hashValue="sYKyxo3IY1UH+y2Ckv46xEzCGmzdwIWkqiBb/F00gIsl17JUyP64C54uAV08QDbNPa+UZQWWIYY8wtLCILNm2w==" saltValue="0/LHCVJojP3hwpICFaTbXQ==" spinCount="100000" sheet="1" formatColumns="0" formatRows="0" insertHyperlinks="0"/>
  <protectedRanges>
    <protectedRange sqref="L14 E8 E10 L6 L8 L10 D14 H14 D18 D20 D22 G20 G22 L20 L22 K18 N18 N42 C71 G71 D41:D42 R28 R31 R34 H41:H42 L71 B65:B67 R37" name="Rango1_2"/>
    <protectedRange sqref="L71" name="Rango2_2"/>
  </protectedRanges>
  <dataConsolidate/>
  <mergeCells count="158">
    <mergeCell ref="S53:S54"/>
    <mergeCell ref="T53:T54"/>
    <mergeCell ref="B60:O60"/>
    <mergeCell ref="Q37:Q38"/>
    <mergeCell ref="R37:R38"/>
    <mergeCell ref="AC23:AJ24"/>
    <mergeCell ref="AC33:AJ33"/>
    <mergeCell ref="U37:U38"/>
    <mergeCell ref="V37:V38"/>
    <mergeCell ref="W37:W38"/>
    <mergeCell ref="AC39:AJ39"/>
    <mergeCell ref="T23:AA24"/>
    <mergeCell ref="U35:U36"/>
    <mergeCell ref="V35:V36"/>
    <mergeCell ref="W35:W36"/>
    <mergeCell ref="Q28:Q29"/>
    <mergeCell ref="R28:R29"/>
    <mergeCell ref="B51:O51"/>
    <mergeCell ref="D53:F53"/>
    <mergeCell ref="G53:H53"/>
    <mergeCell ref="I53:J53"/>
    <mergeCell ref="L48:M48"/>
    <mergeCell ref="C49:D49"/>
    <mergeCell ref="E34:F34"/>
    <mergeCell ref="R4:T4"/>
    <mergeCell ref="S41:T41"/>
    <mergeCell ref="U41:V41"/>
    <mergeCell ref="Q31:Q32"/>
    <mergeCell ref="R31:R32"/>
    <mergeCell ref="U33:AA33"/>
    <mergeCell ref="E29:F29"/>
    <mergeCell ref="H29:J29"/>
    <mergeCell ref="L29:M29"/>
    <mergeCell ref="H31:J31"/>
    <mergeCell ref="L31:M31"/>
    <mergeCell ref="E30:F30"/>
    <mergeCell ref="H30:J30"/>
    <mergeCell ref="L30:M30"/>
    <mergeCell ref="C36:N37"/>
    <mergeCell ref="C31:C32"/>
    <mergeCell ref="D31:D32"/>
    <mergeCell ref="E31:F32"/>
    <mergeCell ref="G31:G32"/>
    <mergeCell ref="H32:J32"/>
    <mergeCell ref="L32:M32"/>
    <mergeCell ref="E33:F33"/>
    <mergeCell ref="H33:J33"/>
    <mergeCell ref="L33:M33"/>
    <mergeCell ref="I62:O62"/>
    <mergeCell ref="F49:G49"/>
    <mergeCell ref="J49:K49"/>
    <mergeCell ref="L49:M49"/>
    <mergeCell ref="D54:F54"/>
    <mergeCell ref="G54:H54"/>
    <mergeCell ref="I54:J54"/>
    <mergeCell ref="K54:M54"/>
    <mergeCell ref="B89:L89"/>
    <mergeCell ref="C71:E71"/>
    <mergeCell ref="G71:J71"/>
    <mergeCell ref="L71:N71"/>
    <mergeCell ref="G72:J72"/>
    <mergeCell ref="B63:O63"/>
    <mergeCell ref="B65:O65"/>
    <mergeCell ref="B69:E69"/>
    <mergeCell ref="F69:G69"/>
    <mergeCell ref="I69:K69"/>
    <mergeCell ref="L69:O69"/>
    <mergeCell ref="C72:E72"/>
    <mergeCell ref="L72:N72"/>
    <mergeCell ref="K53:M53"/>
    <mergeCell ref="B66:O66"/>
    <mergeCell ref="B64:O64"/>
    <mergeCell ref="B94:E94"/>
    <mergeCell ref="D80:O80"/>
    <mergeCell ref="D81:O82"/>
    <mergeCell ref="L83:O83"/>
    <mergeCell ref="B85:E85"/>
    <mergeCell ref="B87:E87"/>
    <mergeCell ref="B88:O88"/>
    <mergeCell ref="B73:O74"/>
    <mergeCell ref="K75:O75"/>
    <mergeCell ref="K76:O76"/>
    <mergeCell ref="F77:I78"/>
    <mergeCell ref="K77:O78"/>
    <mergeCell ref="F79:G79"/>
    <mergeCell ref="I79:L79"/>
    <mergeCell ref="B92:E92"/>
    <mergeCell ref="L34:M34"/>
    <mergeCell ref="I6:K6"/>
    <mergeCell ref="L6:N6"/>
    <mergeCell ref="C8:D8"/>
    <mergeCell ref="E8:G8"/>
    <mergeCell ref="I8:K8"/>
    <mergeCell ref="L8:N8"/>
    <mergeCell ref="G22:I22"/>
    <mergeCell ref="J22:K22"/>
    <mergeCell ref="L22:M22"/>
    <mergeCell ref="B26:O26"/>
    <mergeCell ref="E28:F28"/>
    <mergeCell ref="H28:J28"/>
    <mergeCell ref="L28:M28"/>
    <mergeCell ref="B16:O16"/>
    <mergeCell ref="D18:I18"/>
    <mergeCell ref="L18:M18"/>
    <mergeCell ref="G20:I20"/>
    <mergeCell ref="J20:K20"/>
    <mergeCell ref="L20:N20"/>
    <mergeCell ref="E24:F24"/>
    <mergeCell ref="L24:M24"/>
    <mergeCell ref="G24:I24"/>
    <mergeCell ref="B67:O67"/>
    <mergeCell ref="F41:G41"/>
    <mergeCell ref="H41:J41"/>
    <mergeCell ref="L41:M41"/>
    <mergeCell ref="D41:E41"/>
    <mergeCell ref="B1:D3"/>
    <mergeCell ref="E1:O2"/>
    <mergeCell ref="E3:F3"/>
    <mergeCell ref="G3:H3"/>
    <mergeCell ref="I3:J3"/>
    <mergeCell ref="L3:M3"/>
    <mergeCell ref="N3:O3"/>
    <mergeCell ref="C10:D10"/>
    <mergeCell ref="E10:G10"/>
    <mergeCell ref="I10:K10"/>
    <mergeCell ref="L10:N10"/>
    <mergeCell ref="B12:O12"/>
    <mergeCell ref="D14:F14"/>
    <mergeCell ref="H14:J14"/>
    <mergeCell ref="L14:N14"/>
    <mergeCell ref="B4:O4"/>
    <mergeCell ref="C6:D6"/>
    <mergeCell ref="H34:J34"/>
    <mergeCell ref="E6:G6"/>
    <mergeCell ref="Q34:Q35"/>
    <mergeCell ref="R34:R35"/>
    <mergeCell ref="D42:E42"/>
    <mergeCell ref="F42:G42"/>
    <mergeCell ref="H42:J42"/>
    <mergeCell ref="L42:M42"/>
    <mergeCell ref="P65:Q66"/>
    <mergeCell ref="C48:D48"/>
    <mergeCell ref="F48:G48"/>
    <mergeCell ref="B44:O44"/>
    <mergeCell ref="F46:G46"/>
    <mergeCell ref="J46:K46"/>
    <mergeCell ref="L46:M46"/>
    <mergeCell ref="C47:D47"/>
    <mergeCell ref="F47:G47"/>
    <mergeCell ref="J47:K47"/>
    <mergeCell ref="L47:M47"/>
    <mergeCell ref="J48:K48"/>
    <mergeCell ref="B39:O39"/>
    <mergeCell ref="C56:N57"/>
    <mergeCell ref="C58:N59"/>
    <mergeCell ref="B61:H61"/>
    <mergeCell ref="I61:O61"/>
    <mergeCell ref="B62:H62"/>
  </mergeCells>
  <dataValidations count="12">
    <dataValidation type="list" allowBlank="1" showInputMessage="1" showErrorMessage="1" sqref="R27" xr:uid="{E04E7FD2-576E-414C-845C-5537F048D85C}">
      <formula1>#REF!</formula1>
    </dataValidation>
    <dataValidation type="list" allowBlank="1" showInputMessage="1" showErrorMessage="1" sqref="H10 E8:G8" xr:uid="{6ED5F4DC-C716-470B-8FFF-AECCE8A2FF10}">
      <formula1>$R$8:$R$9</formula1>
    </dataValidation>
    <dataValidation type="list" allowBlank="1" showInputMessage="1" showErrorMessage="1" sqref="R28:R29" xr:uid="{9FDBF4FF-2D8D-4F5F-B0AE-9EA35AB3F7CF}">
      <formula1>$T$26:$T$31</formula1>
    </dataValidation>
    <dataValidation type="list" showInputMessage="1" showErrorMessage="1" sqref="R31:R32" xr:uid="{871B3F73-0141-4506-AB71-BD77900B7757}">
      <formula1>$AC$26:$AC$30</formula1>
    </dataValidation>
    <dataValidation type="list" allowBlank="1" showInputMessage="1" showErrorMessage="1" sqref="R34:R35" xr:uid="{F2D3F2B3-56C0-4934-8BC2-C0F453A06E2E}">
      <formula1>$AD$35:$AD$36</formula1>
    </dataValidation>
    <dataValidation type="list" allowBlank="1" showInputMessage="1" showErrorMessage="1" sqref="R37:R38" xr:uid="{FCE1201D-F87F-4C7A-BE27-6CF145E75761}">
      <formula1>$U$35:$U$38</formula1>
    </dataValidation>
    <dataValidation type="list" allowBlank="1" showInputMessage="1" showErrorMessage="1" sqref="D42 D41:E41" xr:uid="{960EF3CB-36AF-4ECA-AAA3-719E243D3FFE}">
      <formula1>$Q$41:$Q$42</formula1>
    </dataValidation>
    <dataValidation type="list" allowBlank="1" showInputMessage="1" showErrorMessage="1" sqref="H41:J41" xr:uid="{D368FB1D-09EB-4B26-85B3-9A93F6509670}">
      <formula1>$R$41:$R$42</formula1>
    </dataValidation>
    <dataValidation type="list" allowBlank="1" showInputMessage="1" showErrorMessage="1" sqref="N42" xr:uid="{86BA5BBE-7C1B-46C2-9337-40CFB1A09503}">
      <formula1>$W$41:$W$42</formula1>
    </dataValidation>
    <dataValidation type="list" allowBlank="1" showInputMessage="1" showErrorMessage="1" sqref="L71:N71 G71:J71" xr:uid="{CF53469E-7830-44C4-B4F1-234881E69C8E}">
      <formula1>$R$72:$R$74</formula1>
    </dataValidation>
    <dataValidation type="list" allowBlank="1" showInputMessage="1" showErrorMessage="1" sqref="C71:E71" xr:uid="{4607EECD-B098-4B10-A76D-D5BD1773923A}">
      <formula1>$R$69:$R$76</formula1>
    </dataValidation>
    <dataValidation type="list" allowBlank="1" showInputMessage="1" showErrorMessage="1" sqref="B65:O66" xr:uid="{84904990-90AB-4FD2-8737-CC867FAEBB2B}">
      <formula1>$R$63:$U$63</formula1>
    </dataValidation>
  </dataValidations>
  <pageMargins left="0.7" right="0.7" top="0.75" bottom="0.75" header="0.3" footer="0.3"/>
  <pageSetup scale="51" orientation="portrait" r:id="rId1"/>
  <headerFooter alignWithMargins="0">
    <oddHeader>&amp;C&amp;G&amp;R&amp;P de &amp;P</oddHeader>
    <oddFooter>&amp;L     &amp;G</oddFooter>
  </headerFooter>
  <rowBreaks count="1" manualBreakCount="1">
    <brk id="74" max="16383" man="1"/>
  </rowBreaks>
  <colBreaks count="1" manualBreakCount="1">
    <brk id="15" max="1048575" man="1"/>
  </colBreaks>
  <drawing r:id="rId2"/>
  <legacyDrawingHF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140D2-235C-418E-8824-F793E3107926}">
  <dimension ref="B2:Z46"/>
  <sheetViews>
    <sheetView zoomScale="74" workbookViewId="0">
      <selection activeCell="E20" sqref="E20"/>
    </sheetView>
  </sheetViews>
  <sheetFormatPr baseColWidth="10" defaultColWidth="11.44140625" defaultRowHeight="14.4" x14ac:dyDescent="0.3"/>
  <cols>
    <col min="1" max="1" width="3.5546875" customWidth="1"/>
    <col min="2" max="2" width="21.88671875" bestFit="1" customWidth="1"/>
    <col min="3" max="3" width="15.5546875" bestFit="1" customWidth="1"/>
    <col min="4" max="4" width="21.88671875" bestFit="1" customWidth="1"/>
    <col min="5" max="5" width="14.5546875" bestFit="1" customWidth="1"/>
    <col min="6" max="6" width="14" bestFit="1" customWidth="1"/>
    <col min="7" max="7" width="23.109375" bestFit="1" customWidth="1"/>
    <col min="8" max="8" width="19.5546875" bestFit="1" customWidth="1"/>
    <col min="9" max="9" width="19.44140625" bestFit="1" customWidth="1"/>
    <col min="10" max="10" width="19.44140625" customWidth="1"/>
    <col min="12" max="12" width="11.44140625" customWidth="1"/>
    <col min="13" max="13" width="14.44140625" bestFit="1" customWidth="1"/>
    <col min="14" max="15" width="12.44140625" bestFit="1" customWidth="1"/>
  </cols>
  <sheetData>
    <row r="2" spans="2:26" x14ac:dyDescent="0.3">
      <c r="B2" s="373" t="s">
        <v>202</v>
      </c>
      <c r="C2" s="373"/>
      <c r="D2" s="373" t="s">
        <v>203</v>
      </c>
      <c r="E2" s="373"/>
      <c r="F2" s="373" t="s">
        <v>204</v>
      </c>
      <c r="G2" s="373"/>
      <c r="H2" s="373" t="s">
        <v>205</v>
      </c>
      <c r="I2" s="373"/>
      <c r="J2" s="19"/>
      <c r="L2" s="374" t="s">
        <v>206</v>
      </c>
      <c r="M2" s="374"/>
      <c r="N2" s="374"/>
      <c r="O2" s="374"/>
      <c r="P2" s="374"/>
    </row>
    <row r="3" spans="2:26" x14ac:dyDescent="0.3">
      <c r="B3" s="27" t="s">
        <v>207</v>
      </c>
      <c r="C3" s="75">
        <v>0</v>
      </c>
      <c r="D3" s="27" t="s">
        <v>207</v>
      </c>
      <c r="E3" s="75">
        <v>0</v>
      </c>
      <c r="F3" s="27" t="s">
        <v>208</v>
      </c>
      <c r="G3" s="14" t="s">
        <v>209</v>
      </c>
      <c r="H3" s="27" t="s">
        <v>210</v>
      </c>
      <c r="I3" s="13">
        <v>0</v>
      </c>
      <c r="J3" s="21"/>
      <c r="L3" s="13" t="s">
        <v>211</v>
      </c>
      <c r="M3" s="13" t="s">
        <v>212</v>
      </c>
      <c r="N3" s="13" t="s">
        <v>173</v>
      </c>
      <c r="O3" s="13" t="s">
        <v>213</v>
      </c>
      <c r="P3" s="13" t="s">
        <v>214</v>
      </c>
      <c r="R3" s="33"/>
      <c r="S3" s="33"/>
      <c r="T3" s="33"/>
      <c r="U3" s="33"/>
      <c r="V3" s="33"/>
      <c r="W3" s="33"/>
      <c r="X3" s="33"/>
      <c r="Y3" s="33"/>
      <c r="Z3" s="33"/>
    </row>
    <row r="4" spans="2:26" x14ac:dyDescent="0.3">
      <c r="B4" s="27" t="s">
        <v>215</v>
      </c>
      <c r="C4" s="75">
        <v>0</v>
      </c>
      <c r="D4" s="27" t="s">
        <v>215</v>
      </c>
      <c r="E4" s="75">
        <v>0</v>
      </c>
      <c r="F4" s="27" t="s">
        <v>216</v>
      </c>
      <c r="G4" s="14" t="s">
        <v>209</v>
      </c>
      <c r="H4" s="27" t="s">
        <v>207</v>
      </c>
      <c r="I4" s="13">
        <v>0</v>
      </c>
      <c r="J4" s="21"/>
      <c r="L4" s="13">
        <v>0</v>
      </c>
      <c r="M4" s="14" t="s">
        <v>209</v>
      </c>
      <c r="N4" s="14" t="s">
        <v>209</v>
      </c>
      <c r="O4" s="14">
        <f>CERTIFICADO!$L$22+IF(CERTIFICADO!$H$41="ASME I",IF(AND(CERTIFICADO!$L$22&lt;=70,CERTIFICADO!$L$22&gt;=15),2,IF(AND(CERTIFICADO!$L$22&lt;=300,CERTIFICADO!$L$22&gt;70),CERTIFICADO!$L$22*0.03,IF(AND(CERTIFICADO!$L$22&lt;=1000,CERTIFICADO!$L$22&gt;300),10,IF(CERTIFICADO!$L$22&gt;1000,CERTIFICADO!$L$22*0.01)))),IF(AND(CERTIFICADO!$L$22&lt;=70,CERTIFICADO!$L$22&gt;=15),2,IF(CERTIFICADO!$L$22&gt;70,CERTIFICADO!$L$22*0.03,0)))</f>
        <v>0</v>
      </c>
      <c r="P4" s="14">
        <f>CERTIFICADO!$L$22-IF(CERTIFICADO!$H$41="ASME I",IF(AND(CERTIFICADO!$L$22&lt;=70,CERTIFICADO!$L$22&gt;=15),2,IF(AND(CERTIFICADO!$L$22&lt;=300,CERTIFICADO!$L$22&gt;70),CERTIFICADO!$L$22*0.03,IF(AND(CERTIFICADO!$L$22&lt;=1000,CERTIFICADO!$L$22&gt;300),10,IF(CERTIFICADO!$L$22&gt;1000,CERTIFICADO!$L$22*0.01)))),IF(AND(CERTIFICADO!$L$22&lt;=70,CERTIFICADO!$L$22&gt;=15),2,IF(CERTIFICADO!$L$22&gt;70,CERTIFICADO!$L$22*0.03,0)))</f>
        <v>0</v>
      </c>
      <c r="R4" s="33"/>
      <c r="S4" s="33"/>
      <c r="T4" s="33"/>
      <c r="U4" s="33"/>
      <c r="V4" s="33"/>
      <c r="W4" s="33"/>
      <c r="X4" s="33"/>
      <c r="Y4" s="33"/>
      <c r="Z4" s="33"/>
    </row>
    <row r="5" spans="2:26" x14ac:dyDescent="0.3">
      <c r="B5" s="27" t="s">
        <v>217</v>
      </c>
      <c r="C5" s="218">
        <v>0</v>
      </c>
      <c r="D5" s="27" t="s">
        <v>217</v>
      </c>
      <c r="E5" s="218">
        <v>0</v>
      </c>
      <c r="F5" s="27" t="s">
        <v>218</v>
      </c>
      <c r="G5" s="14"/>
      <c r="H5" s="27" t="s">
        <v>219</v>
      </c>
      <c r="I5" s="13">
        <v>0</v>
      </c>
      <c r="J5" s="21"/>
      <c r="L5" s="13">
        <v>1</v>
      </c>
      <c r="M5" s="28">
        <f>D11</f>
        <v>0</v>
      </c>
      <c r="N5" s="73" t="e">
        <f>'CÁLCULO INCERTIDUMBRE'!C8</f>
        <v>#DIV/0!</v>
      </c>
      <c r="O5" s="14">
        <f>CERTIFICADO!$L$22+IF(CERTIFICADO!$H$41="ASME I",IF(AND(CERTIFICADO!$L$22&lt;=70,CERTIFICADO!$L$22&gt;=15),2,IF(AND(CERTIFICADO!$L$22&lt;=300,CERTIFICADO!$L$22&gt;70),CERTIFICADO!$L$22*0.03,IF(AND(CERTIFICADO!$L$22&lt;=1000,CERTIFICADO!$L$22&gt;300),10,IF(CERTIFICADO!$L$22&gt;1000,CERTIFICADO!$L$22*0.01)))),IF(AND(CERTIFICADO!$L$22&lt;=70,CERTIFICADO!$L$22&gt;=15),2,IF(CERTIFICADO!$L$22&gt;70,CERTIFICADO!$L$22*0.03,0)))</f>
        <v>0</v>
      </c>
      <c r="P5" s="14">
        <f>CERTIFICADO!$L$22-IF(CERTIFICADO!$H$41="ASME I",IF(AND(CERTIFICADO!$L$22&lt;=70,CERTIFICADO!$L$22&gt;=15),2,IF(AND(CERTIFICADO!$L$22&lt;=300,CERTIFICADO!$L$22&gt;70),CERTIFICADO!$L$22*0.03,IF(AND(CERTIFICADO!$L$22&lt;=1000,CERTIFICADO!$L$22&gt;300),10,IF(CERTIFICADO!$L$22&gt;1000,CERTIFICADO!$L$22*0.01)))),IF(AND(CERTIFICADO!$L$22&lt;=70,CERTIFICADO!$L$22&gt;=15),2,IF(CERTIFICADO!$L$22&gt;70,CERTIFICADO!$L$22*0.03,0)))</f>
        <v>0</v>
      </c>
      <c r="R5" s="33"/>
      <c r="S5" s="33"/>
      <c r="T5" s="33"/>
      <c r="U5" s="33"/>
      <c r="V5" s="33"/>
      <c r="W5" s="33"/>
      <c r="X5" s="33"/>
      <c r="Y5" s="33"/>
      <c r="Z5" s="33"/>
    </row>
    <row r="6" spans="2:26" x14ac:dyDescent="0.3">
      <c r="B6" s="19"/>
      <c r="C6" s="19"/>
      <c r="D6" s="19"/>
      <c r="E6" s="19"/>
      <c r="F6" s="27" t="s">
        <v>220</v>
      </c>
      <c r="G6" s="14"/>
      <c r="L6" s="13">
        <v>2</v>
      </c>
      <c r="M6" s="28">
        <f>D12</f>
        <v>0</v>
      </c>
      <c r="N6" s="73" t="e">
        <f>'CÁLCULO INCERTIDUMBRE'!C8</f>
        <v>#DIV/0!</v>
      </c>
      <c r="O6" s="14">
        <f>CERTIFICADO!$L$22+IF(CERTIFICADO!$H$41="ASME I",IF(AND(CERTIFICADO!$L$22&lt;=70,CERTIFICADO!$L$22&gt;=15),2,IF(AND(CERTIFICADO!$L$22&lt;=300,CERTIFICADO!$L$22&gt;70),CERTIFICADO!$L$22*0.03,IF(AND(CERTIFICADO!$L$22&lt;=1000,CERTIFICADO!$L$22&gt;300),10,IF(CERTIFICADO!$L$22&gt;1000,CERTIFICADO!$L$22*0.01)))),IF(AND(CERTIFICADO!$L$22&lt;=70,CERTIFICADO!$L$22&gt;=15),2,IF(CERTIFICADO!$L$22&gt;70,CERTIFICADO!$L$22*0.03,0)))</f>
        <v>0</v>
      </c>
      <c r="P6" s="14">
        <f>CERTIFICADO!$L$22-IF(CERTIFICADO!$H$41="ASME I",IF(AND(CERTIFICADO!$L$22&lt;=70,CERTIFICADO!$L$22&gt;=15),2,IF(AND(CERTIFICADO!$L$22&lt;=300,CERTIFICADO!$L$22&gt;70),CERTIFICADO!$L$22*0.03,IF(AND(CERTIFICADO!$L$22&lt;=1000,CERTIFICADO!$L$22&gt;300),10,IF(CERTIFICADO!$L$22&gt;1000,CERTIFICADO!$L$22*0.01)))),IF(AND(CERTIFICADO!$L$22&lt;=70,CERTIFICADO!$L$22&gt;=15),2,IF(CERTIFICADO!$L$22&gt;70,CERTIFICADO!$L$22*0.03,0)))</f>
        <v>0</v>
      </c>
      <c r="R6" s="33"/>
      <c r="S6" s="33"/>
      <c r="T6" s="33"/>
      <c r="U6" s="33"/>
      <c r="V6" s="33"/>
      <c r="W6" s="33"/>
      <c r="X6" s="33"/>
      <c r="Y6" s="33"/>
      <c r="Z6" s="33"/>
    </row>
    <row r="7" spans="2:26" x14ac:dyDescent="0.3">
      <c r="F7" s="27" t="s">
        <v>221</v>
      </c>
      <c r="G7" s="14"/>
      <c r="L7" s="13">
        <v>3</v>
      </c>
      <c r="M7" s="28">
        <f>D13</f>
        <v>0</v>
      </c>
      <c r="N7" s="73" t="e">
        <f>'CÁLCULO INCERTIDUMBRE'!C8</f>
        <v>#DIV/0!</v>
      </c>
      <c r="O7" s="14">
        <f>CERTIFICADO!$L$22+IF(CERTIFICADO!$H$41="ASME I",IF(AND(CERTIFICADO!$L$22&lt;=70,CERTIFICADO!$L$22&gt;=15),2,IF(AND(CERTIFICADO!$L$22&lt;=300,CERTIFICADO!$L$22&gt;70),CERTIFICADO!$L$22*0.03,IF(AND(CERTIFICADO!$L$22&lt;=1000,CERTIFICADO!$L$22&gt;300),10,IF(CERTIFICADO!$L$22&gt;1000,CERTIFICADO!$L$22*0.01)))),IF(AND(CERTIFICADO!$L$22&lt;=70,CERTIFICADO!$L$22&gt;=15),2,IF(CERTIFICADO!$L$22&gt;70,CERTIFICADO!$L$22*0.03,0)))</f>
        <v>0</v>
      </c>
      <c r="P7" s="14">
        <f>CERTIFICADO!$L$22-IF(CERTIFICADO!$H$41="ASME I",IF(AND(CERTIFICADO!$L$22&lt;=70,CERTIFICADO!$L$22&gt;=15),2,IF(AND(CERTIFICADO!$L$22&lt;=300,CERTIFICADO!$L$22&gt;70),CERTIFICADO!$L$22*0.03,IF(AND(CERTIFICADO!$L$22&lt;=1000,CERTIFICADO!$L$22&gt;300),10,IF(CERTIFICADO!$L$22&gt;1000,CERTIFICADO!$L$22*0.01)))),IF(AND(CERTIFICADO!$L$22&lt;=70,CERTIFICADO!$L$22&gt;=15),2,IF(CERTIFICADO!$L$22&gt;70,CERTIFICADO!$L$22*0.03,0)))</f>
        <v>0</v>
      </c>
      <c r="R7" s="33"/>
      <c r="S7" s="33"/>
      <c r="T7" s="33"/>
      <c r="U7" s="33"/>
      <c r="V7" s="33"/>
      <c r="W7" s="33"/>
      <c r="X7" s="33"/>
      <c r="Y7" s="33"/>
      <c r="Z7" s="33"/>
    </row>
    <row r="8" spans="2:26" x14ac:dyDescent="0.3">
      <c r="L8" s="13">
        <v>4</v>
      </c>
      <c r="M8" s="14" t="s">
        <v>209</v>
      </c>
      <c r="N8" s="14" t="s">
        <v>209</v>
      </c>
      <c r="O8" s="14">
        <f>CERTIFICADO!$L$22+IF(CERTIFICADO!$H$41="ASME I",IF(AND(CERTIFICADO!$L$22&lt;=70,CERTIFICADO!$L$22&gt;=15),2,IF(AND(CERTIFICADO!$L$22&lt;=300,CERTIFICADO!$L$22&gt;70),CERTIFICADO!$L$22*0.03,IF(AND(CERTIFICADO!$L$22&lt;=1000,CERTIFICADO!$L$22&gt;300),10,IF(CERTIFICADO!$L$22&gt;1000,CERTIFICADO!$L$22*0.01)))),IF(AND(CERTIFICADO!$L$22&lt;=70,CERTIFICADO!$L$22&gt;=15),2,IF(CERTIFICADO!$L$22&gt;70,CERTIFICADO!$L$22*0.03,0)))</f>
        <v>0</v>
      </c>
      <c r="P8" s="14">
        <f>CERTIFICADO!$L$22-IF(CERTIFICADO!$H$41="ASME I",IF(AND(CERTIFICADO!$L$22&lt;=70,CERTIFICADO!$L$22&gt;=15),2,IF(AND(CERTIFICADO!$L$22&lt;=300,CERTIFICADO!$L$22&gt;70),CERTIFICADO!$L$22*0.03,IF(AND(CERTIFICADO!$L$22&lt;=1000,CERTIFICADO!$L$22&gt;300),10,IF(CERTIFICADO!$L$22&gt;1000,CERTIFICADO!$L$22*0.01)))),IF(AND(CERTIFICADO!$L$22&lt;=70,CERTIFICADO!$L$22&gt;=15),2,IF(CERTIFICADO!$L$22&gt;70,CERTIFICADO!$L$22*0.03,0)))</f>
        <v>0</v>
      </c>
      <c r="R8" s="33"/>
      <c r="S8" s="33"/>
      <c r="T8" s="33"/>
      <c r="U8" s="33"/>
      <c r="V8" s="33"/>
      <c r="W8" s="33"/>
      <c r="X8" s="33"/>
      <c r="Y8" s="33"/>
      <c r="Z8" s="33"/>
    </row>
    <row r="9" spans="2:26" x14ac:dyDescent="0.3">
      <c r="B9" s="29">
        <v>1</v>
      </c>
      <c r="C9" s="30" t="s">
        <v>222</v>
      </c>
      <c r="D9" s="31" t="s">
        <v>223</v>
      </c>
      <c r="E9" s="21"/>
      <c r="F9" s="21"/>
      <c r="G9" s="365" t="s">
        <v>224</v>
      </c>
      <c r="H9" s="365"/>
      <c r="I9" s="365"/>
      <c r="J9" s="375" t="s">
        <v>225</v>
      </c>
      <c r="R9" s="33"/>
      <c r="S9" s="33"/>
      <c r="T9" s="33"/>
      <c r="U9" s="33"/>
      <c r="V9" s="33"/>
      <c r="W9" s="33"/>
      <c r="X9" s="33"/>
      <c r="Y9" s="33"/>
      <c r="Z9" s="33"/>
    </row>
    <row r="10" spans="2:26" x14ac:dyDescent="0.3">
      <c r="B10" s="30" t="s">
        <v>226</v>
      </c>
      <c r="C10" s="30" t="s">
        <v>227</v>
      </c>
      <c r="D10" s="30" t="s">
        <v>227</v>
      </c>
      <c r="E10" s="21"/>
      <c r="F10" s="21"/>
      <c r="G10" s="30" t="s">
        <v>226</v>
      </c>
      <c r="H10" s="30" t="s">
        <v>228</v>
      </c>
      <c r="I10" s="30" t="s">
        <v>229</v>
      </c>
      <c r="J10" s="376"/>
      <c r="R10" s="33"/>
      <c r="S10" s="33"/>
      <c r="T10" s="33"/>
      <c r="U10" s="33"/>
      <c r="V10" s="33"/>
      <c r="W10" s="33"/>
      <c r="X10" s="33"/>
      <c r="Y10" s="33"/>
      <c r="Z10" s="33"/>
    </row>
    <row r="11" spans="2:26" ht="15" thickBot="1" x14ac:dyDescent="0.35">
      <c r="B11" s="30">
        <v>1</v>
      </c>
      <c r="C11" s="17">
        <v>0</v>
      </c>
      <c r="D11" s="74">
        <f>C11</f>
        <v>0</v>
      </c>
      <c r="E11" s="23"/>
      <c r="F11" s="23"/>
      <c r="G11" s="14">
        <v>1</v>
      </c>
      <c r="H11" s="13">
        <v>0</v>
      </c>
      <c r="I11" s="13">
        <v>0</v>
      </c>
      <c r="J11" s="13">
        <v>0</v>
      </c>
    </row>
    <row r="12" spans="2:26" x14ac:dyDescent="0.3">
      <c r="B12" s="30">
        <v>2</v>
      </c>
      <c r="C12" s="17">
        <v>0</v>
      </c>
      <c r="D12" s="74">
        <f>C12</f>
        <v>0</v>
      </c>
      <c r="E12" s="23"/>
      <c r="F12" s="23"/>
      <c r="G12" s="14">
        <v>2</v>
      </c>
      <c r="H12" s="13">
        <v>0</v>
      </c>
      <c r="I12" s="13">
        <v>0</v>
      </c>
      <c r="J12" s="13">
        <v>0</v>
      </c>
      <c r="Q12" s="366" t="s">
        <v>230</v>
      </c>
      <c r="R12" s="367"/>
    </row>
    <row r="13" spans="2:26" x14ac:dyDescent="0.3">
      <c r="B13" s="30">
        <v>3</v>
      </c>
      <c r="C13" s="17">
        <v>0</v>
      </c>
      <c r="D13" s="74">
        <f>C13</f>
        <v>0</v>
      </c>
      <c r="E13" s="23"/>
      <c r="F13" s="23"/>
      <c r="G13" s="14">
        <v>3</v>
      </c>
      <c r="H13" s="13">
        <v>0</v>
      </c>
      <c r="I13" s="13">
        <v>0</v>
      </c>
      <c r="J13" s="13">
        <v>0</v>
      </c>
      <c r="Q13" s="368"/>
      <c r="R13" s="369"/>
    </row>
    <row r="14" spans="2:26" ht="15" thickBot="1" x14ac:dyDescent="0.35">
      <c r="C14" s="234"/>
      <c r="F14" s="23"/>
      <c r="G14" s="14">
        <v>4</v>
      </c>
      <c r="H14" s="13">
        <v>0</v>
      </c>
      <c r="I14" s="13">
        <v>0</v>
      </c>
      <c r="J14" s="13">
        <v>0</v>
      </c>
      <c r="Q14" s="370"/>
      <c r="R14" s="371"/>
    </row>
    <row r="15" spans="2:26" x14ac:dyDescent="0.3">
      <c r="B15" s="14" t="s">
        <v>231</v>
      </c>
      <c r="G15" s="14">
        <v>5</v>
      </c>
      <c r="H15" s="13">
        <v>0</v>
      </c>
      <c r="I15" s="13">
        <v>0</v>
      </c>
      <c r="J15" s="13">
        <v>0</v>
      </c>
    </row>
    <row r="16" spans="2:26" x14ac:dyDescent="0.3">
      <c r="G16" s="14">
        <v>6</v>
      </c>
      <c r="H16" s="13">
        <v>0</v>
      </c>
      <c r="I16" s="13">
        <v>0</v>
      </c>
      <c r="J16" s="13">
        <v>0</v>
      </c>
      <c r="Q16" s="372" t="s">
        <v>232</v>
      </c>
      <c r="R16" s="372"/>
    </row>
    <row r="17" spans="2:19" x14ac:dyDescent="0.3">
      <c r="B17" s="14" t="s">
        <v>233</v>
      </c>
      <c r="C17" s="75">
        <f>AVERAGE(C11:C14)</f>
        <v>0</v>
      </c>
      <c r="D17" s="75">
        <f>AVERAGE(D11:D13)</f>
        <v>0</v>
      </c>
      <c r="E17" s="235"/>
      <c r="J17" s="21"/>
    </row>
    <row r="18" spans="2:19" x14ac:dyDescent="0.3">
      <c r="F18" s="22"/>
      <c r="H18" s="365" t="s">
        <v>234</v>
      </c>
      <c r="I18" s="365"/>
      <c r="J18" s="21"/>
    </row>
    <row r="19" spans="2:19" x14ac:dyDescent="0.3">
      <c r="B19" s="14" t="s">
        <v>226</v>
      </c>
      <c r="C19" s="14">
        <f>COUNT(C11:C14)</f>
        <v>3</v>
      </c>
      <c r="D19" s="19"/>
      <c r="H19" s="30" t="s">
        <v>226</v>
      </c>
      <c r="I19" s="30" t="s">
        <v>235</v>
      </c>
      <c r="J19" s="21"/>
      <c r="Q19" s="32"/>
      <c r="R19" s="32"/>
      <c r="S19" s="32"/>
    </row>
    <row r="20" spans="2:19" x14ac:dyDescent="0.3">
      <c r="G20" s="19"/>
      <c r="H20" s="13">
        <v>1</v>
      </c>
      <c r="I20" s="17">
        <v>0</v>
      </c>
      <c r="J20" s="21"/>
      <c r="Q20" s="32"/>
      <c r="R20" s="32"/>
      <c r="S20" s="32"/>
    </row>
    <row r="21" spans="2:19" x14ac:dyDescent="0.3">
      <c r="G21" s="19"/>
      <c r="H21" s="13">
        <v>2</v>
      </c>
      <c r="I21" s="17">
        <v>0</v>
      </c>
      <c r="J21" s="21"/>
      <c r="Q21" s="32"/>
      <c r="R21" s="32"/>
      <c r="S21" s="32"/>
    </row>
    <row r="22" spans="2:19" x14ac:dyDescent="0.3">
      <c r="G22" s="19"/>
      <c r="H22" s="13">
        <v>3</v>
      </c>
      <c r="I22" s="17">
        <v>0</v>
      </c>
      <c r="J22" s="21"/>
      <c r="Q22" s="32"/>
      <c r="R22" s="32"/>
      <c r="S22" s="32"/>
    </row>
    <row r="23" spans="2:19" x14ac:dyDescent="0.3">
      <c r="E23" s="21"/>
      <c r="G23" s="19"/>
      <c r="H23" s="21"/>
      <c r="I23" s="21"/>
      <c r="J23" s="21"/>
      <c r="Q23" s="32"/>
      <c r="R23" s="32"/>
      <c r="S23" s="32"/>
    </row>
    <row r="24" spans="2:19" x14ac:dyDescent="0.3">
      <c r="B24" s="21"/>
      <c r="C24" s="23"/>
      <c r="E24" s="23"/>
      <c r="F24" s="21"/>
      <c r="G24" s="21"/>
      <c r="H24" s="30" t="s">
        <v>236</v>
      </c>
      <c r="I24" s="14">
        <v>0</v>
      </c>
      <c r="J24" s="19"/>
      <c r="Q24" s="32"/>
      <c r="R24" s="32"/>
      <c r="S24" s="32"/>
    </row>
    <row r="25" spans="2:19" x14ac:dyDescent="0.3">
      <c r="B25" s="21"/>
      <c r="C25" s="23"/>
      <c r="D25" s="23"/>
      <c r="E25" s="23"/>
      <c r="F25" s="21"/>
      <c r="G25" s="21"/>
      <c r="Q25" s="32"/>
      <c r="R25" s="32"/>
      <c r="S25" s="32"/>
    </row>
    <row r="26" spans="2:19" x14ac:dyDescent="0.3">
      <c r="B26" s="21"/>
      <c r="C26" s="23"/>
      <c r="D26" s="23"/>
      <c r="E26" s="23"/>
      <c r="F26" s="23"/>
      <c r="G26" s="23"/>
      <c r="Q26" s="32"/>
      <c r="R26" s="32"/>
      <c r="S26" s="32"/>
    </row>
    <row r="27" spans="2:19" x14ac:dyDescent="0.3">
      <c r="B27" s="21"/>
      <c r="C27" s="23"/>
      <c r="D27" s="23"/>
      <c r="E27" s="23"/>
      <c r="F27" s="23"/>
      <c r="G27" s="23"/>
      <c r="Q27" s="32"/>
      <c r="R27" s="32"/>
      <c r="S27" s="32"/>
    </row>
    <row r="28" spans="2:19" x14ac:dyDescent="0.3">
      <c r="B28" s="21"/>
      <c r="C28" s="23"/>
      <c r="F28" s="23"/>
      <c r="G28" s="23"/>
      <c r="Q28" s="32"/>
      <c r="R28" s="32"/>
      <c r="S28" s="32"/>
    </row>
    <row r="29" spans="2:19" x14ac:dyDescent="0.3">
      <c r="B29" s="21"/>
      <c r="C29" s="23"/>
      <c r="G29" s="23"/>
      <c r="Q29" s="32"/>
      <c r="R29" s="32"/>
      <c r="S29" s="32"/>
    </row>
    <row r="30" spans="2:19" x14ac:dyDescent="0.3">
      <c r="B30" s="21"/>
      <c r="C30" s="23"/>
      <c r="Q30" s="32"/>
      <c r="R30" s="32"/>
      <c r="S30" s="32"/>
    </row>
    <row r="31" spans="2:19" x14ac:dyDescent="0.3">
      <c r="B31" s="21"/>
      <c r="C31" s="23"/>
      <c r="Q31" s="32"/>
      <c r="R31" s="32"/>
      <c r="S31" s="32"/>
    </row>
    <row r="32" spans="2:19" x14ac:dyDescent="0.3">
      <c r="B32" s="21"/>
      <c r="C32" s="23"/>
      <c r="Q32" s="32"/>
      <c r="R32" s="32"/>
      <c r="S32" s="32"/>
    </row>
    <row r="33" spans="2:19" x14ac:dyDescent="0.3">
      <c r="B33" s="21"/>
      <c r="C33" s="23"/>
      <c r="Q33" s="32"/>
      <c r="R33" s="32"/>
      <c r="S33" s="32"/>
    </row>
    <row r="34" spans="2:19" x14ac:dyDescent="0.3">
      <c r="B34" s="21"/>
      <c r="C34" s="23"/>
      <c r="Q34" s="32"/>
      <c r="R34" s="32"/>
      <c r="S34" s="32"/>
    </row>
    <row r="35" spans="2:19" x14ac:dyDescent="0.3">
      <c r="B35" s="21"/>
      <c r="C35" s="23"/>
      <c r="Q35" s="32"/>
      <c r="R35" s="32"/>
      <c r="S35" s="32"/>
    </row>
    <row r="36" spans="2:19" x14ac:dyDescent="0.3">
      <c r="Q36" s="32"/>
      <c r="R36" s="32"/>
      <c r="S36" s="32"/>
    </row>
    <row r="37" spans="2:19" x14ac:dyDescent="0.3">
      <c r="Q37" s="32"/>
      <c r="R37" s="32"/>
      <c r="S37" s="32"/>
    </row>
    <row r="38" spans="2:19" x14ac:dyDescent="0.3">
      <c r="Q38" s="32"/>
      <c r="R38" s="32"/>
      <c r="S38" s="32"/>
    </row>
    <row r="39" spans="2:19" x14ac:dyDescent="0.3">
      <c r="Q39" s="32"/>
      <c r="R39" s="32"/>
      <c r="S39" s="32"/>
    </row>
    <row r="40" spans="2:19" x14ac:dyDescent="0.3">
      <c r="Q40" s="32"/>
      <c r="R40" s="32"/>
      <c r="S40" s="32"/>
    </row>
    <row r="41" spans="2:19" x14ac:dyDescent="0.3">
      <c r="Q41" s="32"/>
      <c r="R41" s="32"/>
      <c r="S41" s="32"/>
    </row>
    <row r="42" spans="2:19" x14ac:dyDescent="0.3">
      <c r="Q42" s="32"/>
      <c r="R42" s="32"/>
      <c r="S42" s="32"/>
    </row>
    <row r="43" spans="2:19" x14ac:dyDescent="0.3">
      <c r="Q43" s="32"/>
      <c r="R43" s="32"/>
      <c r="S43" s="32"/>
    </row>
    <row r="44" spans="2:19" x14ac:dyDescent="0.3">
      <c r="Q44" s="32"/>
      <c r="R44" s="32"/>
      <c r="S44" s="32"/>
    </row>
    <row r="45" spans="2:19" x14ac:dyDescent="0.3">
      <c r="Q45" s="32"/>
      <c r="R45" s="32"/>
      <c r="S45" s="32"/>
    </row>
    <row r="46" spans="2:19" x14ac:dyDescent="0.3">
      <c r="Q46" s="32"/>
      <c r="R46" s="32"/>
      <c r="S46" s="32"/>
    </row>
  </sheetData>
  <sheetProtection algorithmName="SHA-512" hashValue="1/dZvKMV1Zqn5NFhH5ra6aB4mKwhhNZrpLPhzNU3mEZl150q5diOP8BF3PdRK58e2KHazZysqAiu41N2tDYsAw==" saltValue="tY9PVEkG5duywLFubxA8qg==" spinCount="100000" sheet="1" objects="1" scenarios="1"/>
  <protectedRanges>
    <protectedRange sqref="E11:E13 C3:C5 E3:E5 G3:G7 I3:I5 I20:I22 I24 C11:C13 H11:J16" name="Rango1"/>
  </protectedRanges>
  <mergeCells count="10">
    <mergeCell ref="G9:I9"/>
    <mergeCell ref="H18:I18"/>
    <mergeCell ref="Q12:R14"/>
    <mergeCell ref="Q16:R16"/>
    <mergeCell ref="B2:C2"/>
    <mergeCell ref="D2:E2"/>
    <mergeCell ref="F2:G2"/>
    <mergeCell ref="L2:P2"/>
    <mergeCell ref="H2:I2"/>
    <mergeCell ref="J9:J10"/>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10A58-3E75-4879-8FBE-C41EC571580B}">
  <dimension ref="B1:R112"/>
  <sheetViews>
    <sheetView zoomScale="70" zoomScaleNormal="70" workbookViewId="0">
      <selection activeCell="C4" sqref="C4"/>
    </sheetView>
  </sheetViews>
  <sheetFormatPr baseColWidth="10" defaultColWidth="11.44140625" defaultRowHeight="14.4" x14ac:dyDescent="0.3"/>
  <cols>
    <col min="2" max="2" width="22.5546875" bestFit="1" customWidth="1"/>
    <col min="3" max="3" width="14.5546875" bestFit="1" customWidth="1"/>
    <col min="4" max="4" width="14.44140625" bestFit="1" customWidth="1"/>
    <col min="5" max="5" width="16.44140625" bestFit="1" customWidth="1"/>
    <col min="6" max="6" width="15.5546875" bestFit="1" customWidth="1"/>
    <col min="7" max="7" width="13.88671875" bestFit="1" customWidth="1"/>
    <col min="8" max="8" width="13.5546875" customWidth="1"/>
    <col min="9" max="9" width="13.88671875" bestFit="1" customWidth="1"/>
    <col min="10" max="10" width="14.33203125" customWidth="1"/>
    <col min="11" max="11" width="22.5546875" bestFit="1" customWidth="1"/>
    <col min="12" max="12" width="12.44140625" customWidth="1"/>
    <col min="13" max="13" width="15.5546875" bestFit="1" customWidth="1"/>
    <col min="14" max="14" width="13.5546875" bestFit="1" customWidth="1"/>
    <col min="15" max="15" width="15.44140625" bestFit="1" customWidth="1"/>
    <col min="18" max="19" width="15.5546875" bestFit="1" customWidth="1"/>
  </cols>
  <sheetData>
    <row r="1" spans="2:17" ht="15" customHeight="1" x14ac:dyDescent="0.3"/>
    <row r="2" spans="2:17" ht="27" customHeight="1" x14ac:dyDescent="0.3">
      <c r="B2" s="37" t="s">
        <v>237</v>
      </c>
      <c r="C2" s="73">
        <f>I14</f>
        <v>0</v>
      </c>
      <c r="D2" s="13" t="s">
        <v>31</v>
      </c>
      <c r="F2" s="16" t="s">
        <v>238</v>
      </c>
      <c r="G2" s="18" t="str">
        <f>IF(CERTIFICADO!$R$31="TP-010",$M$3,IF(CERTIFICADO!$R$31="TP-002",$M$4,IF(CERTIFICADO!$R$31="TP-004",$M$5,IF(CERTIFICADO!$R$31="TP-008",$M$6,IF(CERTIFICADO!$R$31="TP-009",$M$7,"ERROR")))))</f>
        <v>VST 2 - 3625</v>
      </c>
      <c r="H2" s="33"/>
      <c r="M2" s="13" t="s">
        <v>239</v>
      </c>
      <c r="N2" s="13" t="s">
        <v>240</v>
      </c>
      <c r="O2" s="38"/>
    </row>
    <row r="3" spans="2:17" ht="29.1" customHeight="1" x14ac:dyDescent="0.3">
      <c r="B3" s="37" t="s">
        <v>241</v>
      </c>
      <c r="C3" s="73">
        <f>C24</f>
        <v>0</v>
      </c>
      <c r="D3" s="13" t="s">
        <v>31</v>
      </c>
      <c r="F3" s="16" t="s">
        <v>242</v>
      </c>
      <c r="G3" s="18" t="str">
        <f>IF(CERTIFICADO!$R$28="CEC-001",$N$3,IF(CERTIFICADO!$R$28="CEC-004",$N$4,IF(CERTIFICADO!$R$28="CEC-003",$N$5,IF(CERTIFICADO!$R$28="CEC-005",$N$6,IF(CERTIFICADO!$R$28="CEC-006",$N$7,IF(CERTIFICADO!$R$28="CEC-007",$N$8,"ERROR"))))))</f>
        <v>VST 2 - 1T</v>
      </c>
      <c r="H3" s="33"/>
      <c r="M3" s="15" t="s">
        <v>243</v>
      </c>
      <c r="N3" s="13" t="s">
        <v>244</v>
      </c>
      <c r="O3" s="24"/>
    </row>
    <row r="4" spans="2:17" ht="21" customHeight="1" x14ac:dyDescent="0.3">
      <c r="B4" s="15" t="s">
        <v>245</v>
      </c>
      <c r="C4" s="65">
        <f>C96</f>
        <v>0</v>
      </c>
      <c r="D4" s="13" t="s">
        <v>246</v>
      </c>
      <c r="M4" s="15" t="s">
        <v>247</v>
      </c>
      <c r="N4" s="13" t="s">
        <v>248</v>
      </c>
      <c r="O4" s="24"/>
    </row>
    <row r="5" spans="2:17" ht="21" customHeight="1" x14ac:dyDescent="0.3">
      <c r="B5" s="37" t="s">
        <v>249</v>
      </c>
      <c r="C5" s="13">
        <f>(C2-C3)*C4</f>
        <v>0</v>
      </c>
      <c r="D5" s="13" t="s">
        <v>250</v>
      </c>
      <c r="M5" s="15" t="s">
        <v>251</v>
      </c>
      <c r="N5" s="13" t="s">
        <v>252</v>
      </c>
      <c r="O5" s="24"/>
    </row>
    <row r="6" spans="2:17" ht="15" customHeight="1" x14ac:dyDescent="0.3">
      <c r="M6" s="15" t="s">
        <v>253</v>
      </c>
      <c r="N6" s="13" t="s">
        <v>254</v>
      </c>
      <c r="O6" s="24"/>
    </row>
    <row r="7" spans="2:17" ht="30.6" customHeight="1" thickBot="1" x14ac:dyDescent="0.35">
      <c r="B7" s="37" t="s">
        <v>255</v>
      </c>
      <c r="C7" s="37" t="s">
        <v>256</v>
      </c>
      <c r="D7" s="21"/>
      <c r="E7" s="21"/>
      <c r="F7" s="21"/>
      <c r="M7" s="15" t="s">
        <v>257</v>
      </c>
      <c r="N7" s="13" t="s">
        <v>258</v>
      </c>
      <c r="O7" s="24"/>
    </row>
    <row r="8" spans="2:17" ht="15" customHeight="1" x14ac:dyDescent="0.3">
      <c r="B8" s="13" t="e">
        <f>TINV(1-0.9545,E12)</f>
        <v>#DIV/0!</v>
      </c>
      <c r="C8" s="77" t="e">
        <f>C12*B8</f>
        <v>#DIV/0!</v>
      </c>
      <c r="D8" s="21"/>
      <c r="E8" s="21"/>
      <c r="F8" s="21"/>
      <c r="H8" s="392" t="s">
        <v>259</v>
      </c>
      <c r="I8" s="393"/>
      <c r="J8" s="394"/>
      <c r="N8" s="13" t="s">
        <v>260</v>
      </c>
      <c r="O8" s="24"/>
      <c r="P8" s="24"/>
      <c r="Q8" s="24"/>
    </row>
    <row r="9" spans="2:17" ht="15" customHeight="1" x14ac:dyDescent="0.3">
      <c r="B9" s="21"/>
      <c r="C9" s="21"/>
      <c r="D9" s="21"/>
      <c r="E9" s="21"/>
      <c r="F9" s="21"/>
      <c r="H9" s="382" t="s">
        <v>261</v>
      </c>
      <c r="I9" s="374"/>
      <c r="J9" s="395"/>
      <c r="N9" s="24"/>
      <c r="O9" s="24"/>
      <c r="P9" s="24"/>
      <c r="Q9" s="24"/>
    </row>
    <row r="10" spans="2:17" ht="15" customHeight="1" x14ac:dyDescent="0.3">
      <c r="B10" s="386" t="s">
        <v>262</v>
      </c>
      <c r="C10" s="386"/>
      <c r="D10" s="386"/>
      <c r="E10" s="386"/>
      <c r="F10" s="386"/>
      <c r="H10" s="52" t="s">
        <v>263</v>
      </c>
      <c r="I10" s="15" t="s">
        <v>264</v>
      </c>
      <c r="J10" s="51" t="s">
        <v>265</v>
      </c>
      <c r="N10" s="24"/>
      <c r="O10" s="24"/>
      <c r="P10" s="24"/>
      <c r="Q10" s="24"/>
    </row>
    <row r="11" spans="2:17" ht="32.1" customHeight="1" x14ac:dyDescent="0.3">
      <c r="B11" s="15" t="s">
        <v>266</v>
      </c>
      <c r="C11" s="15" t="s">
        <v>173</v>
      </c>
      <c r="D11" s="41" t="s">
        <v>267</v>
      </c>
      <c r="E11" s="37" t="s">
        <v>268</v>
      </c>
      <c r="F11" s="397">
        <v>1</v>
      </c>
      <c r="H11" s="50">
        <v>1</v>
      </c>
      <c r="I11" s="13">
        <f>'DATOS INCERTIDUMBRE'!D11</f>
        <v>0</v>
      </c>
      <c r="J11" s="51">
        <f>STDEV(I11:I13)</f>
        <v>0</v>
      </c>
    </row>
    <row r="12" spans="2:17" x14ac:dyDescent="0.3">
      <c r="B12" s="16" t="s">
        <v>269</v>
      </c>
      <c r="C12" s="13" t="e">
        <f>SQRT(SUMSQ(C13*D13,C14*D14,J13))</f>
        <v>#DIV/0!</v>
      </c>
      <c r="D12" s="20" t="s">
        <v>209</v>
      </c>
      <c r="E12" s="42" t="e">
        <f>(C12^4)/((((C13*D13)^4)/E13)+(((C14*D14)^4)/E14)+((J13^4)/2))</f>
        <v>#DIV/0!</v>
      </c>
      <c r="F12" s="398"/>
      <c r="H12" s="50">
        <v>2</v>
      </c>
      <c r="I12" s="13">
        <f>'DATOS INCERTIDUMBRE'!D12</f>
        <v>0</v>
      </c>
      <c r="J12" s="51" t="s">
        <v>173</v>
      </c>
      <c r="N12" s="24"/>
      <c r="O12" s="21"/>
      <c r="P12" s="32"/>
      <c r="Q12" s="32"/>
    </row>
    <row r="13" spans="2:17" ht="15" customHeight="1" x14ac:dyDescent="0.3">
      <c r="B13" s="16" t="s">
        <v>270</v>
      </c>
      <c r="C13" s="13" t="e">
        <f>B48</f>
        <v>#DIV/0!</v>
      </c>
      <c r="D13" s="20">
        <f>D48</f>
        <v>1</v>
      </c>
      <c r="E13" s="13" t="e">
        <f>C48</f>
        <v>#DIV/0!</v>
      </c>
      <c r="F13" s="398"/>
      <c r="H13" s="50">
        <v>3</v>
      </c>
      <c r="I13" s="13">
        <f>'DATOS INCERTIDUMBRE'!D13</f>
        <v>0</v>
      </c>
      <c r="J13" s="395">
        <f>J11/SQRT(3)</f>
        <v>0</v>
      </c>
      <c r="P13" s="32"/>
      <c r="Q13" s="32"/>
    </row>
    <row r="14" spans="2:17" ht="15" customHeight="1" thickBot="1" x14ac:dyDescent="0.35">
      <c r="B14" s="16" t="s">
        <v>271</v>
      </c>
      <c r="C14" s="13" t="e">
        <f>C92</f>
        <v>#DIV/0!</v>
      </c>
      <c r="D14" s="13">
        <f>E92</f>
        <v>1</v>
      </c>
      <c r="E14" s="13" t="e">
        <f>D92</f>
        <v>#DIV/0!</v>
      </c>
      <c r="F14" s="399"/>
      <c r="H14" s="59" t="s">
        <v>233</v>
      </c>
      <c r="I14" s="72">
        <f>AVERAGE(I11:I13)</f>
        <v>0</v>
      </c>
      <c r="J14" s="396"/>
      <c r="N14" s="32"/>
      <c r="O14" s="32"/>
      <c r="P14" s="32"/>
      <c r="Q14" s="32"/>
    </row>
    <row r="16" spans="2:17" x14ac:dyDescent="0.3">
      <c r="B16" s="374" t="s">
        <v>261</v>
      </c>
      <c r="C16" s="374"/>
      <c r="D16" s="374"/>
      <c r="E16" s="374"/>
      <c r="F16" s="374"/>
      <c r="G16" s="374"/>
      <c r="H16" s="374"/>
      <c r="I16" s="374"/>
      <c r="J16" s="21"/>
      <c r="K16" s="386" t="s">
        <v>272</v>
      </c>
      <c r="L16" s="386"/>
    </row>
    <row r="17" spans="2:12" x14ac:dyDescent="0.3">
      <c r="B17" s="15" t="s">
        <v>273</v>
      </c>
      <c r="C17" s="15" t="s">
        <v>274</v>
      </c>
      <c r="D17" s="15" t="s">
        <v>275</v>
      </c>
      <c r="E17" s="15" t="s">
        <v>276</v>
      </c>
      <c r="F17" s="15" t="s">
        <v>277</v>
      </c>
      <c r="G17" s="15" t="s">
        <v>278</v>
      </c>
      <c r="H17" s="15" t="s">
        <v>279</v>
      </c>
      <c r="I17" s="15" t="s">
        <v>280</v>
      </c>
      <c r="J17" s="21"/>
      <c r="K17" s="13" t="s">
        <v>281</v>
      </c>
      <c r="L17" s="45">
        <f>'DATOS INCERTIDUMBRE'!E5</f>
        <v>0</v>
      </c>
    </row>
    <row r="18" spans="2:12" x14ac:dyDescent="0.3">
      <c r="B18" s="13">
        <v>1</v>
      </c>
      <c r="C18" s="13">
        <f>'DATOS INCERTIDUMBRE'!I20</f>
        <v>0</v>
      </c>
      <c r="D18" s="13">
        <f>'DATOS INCERTIDUMBRE'!H11</f>
        <v>0</v>
      </c>
      <c r="E18" s="13">
        <f>D18/1000</f>
        <v>0</v>
      </c>
      <c r="F18" s="13">
        <f>'DATOS INCERTIDUMBRE'!I11</f>
        <v>0</v>
      </c>
      <c r="G18" s="13">
        <f>F18/1000</f>
        <v>0</v>
      </c>
      <c r="H18" s="13">
        <f>'DATOS INCERTIDUMBRE'!J11</f>
        <v>0</v>
      </c>
      <c r="I18" s="13">
        <v>20</v>
      </c>
      <c r="J18" s="21"/>
      <c r="K18" s="13" t="s">
        <v>207</v>
      </c>
      <c r="L18" s="13">
        <f>'DATOS INCERTIDUMBRE'!E3</f>
        <v>0</v>
      </c>
    </row>
    <row r="19" spans="2:12" x14ac:dyDescent="0.3">
      <c r="B19" s="13">
        <v>2</v>
      </c>
      <c r="C19" s="13">
        <f>'DATOS INCERTIDUMBRE'!I21</f>
        <v>0</v>
      </c>
      <c r="D19" s="13">
        <f>'DATOS INCERTIDUMBRE'!H12</f>
        <v>0</v>
      </c>
      <c r="E19" s="13">
        <f t="shared" ref="E19:E23" si="0">D19/1000</f>
        <v>0</v>
      </c>
      <c r="F19" s="13">
        <f>'DATOS INCERTIDUMBRE'!I12</f>
        <v>0</v>
      </c>
      <c r="G19" s="13">
        <f t="shared" ref="G19:G23" si="1">F19/1000</f>
        <v>0</v>
      </c>
      <c r="H19" s="13">
        <f>'DATOS INCERTIDUMBRE'!J12</f>
        <v>0</v>
      </c>
      <c r="I19" s="13">
        <v>20</v>
      </c>
      <c r="J19" s="21"/>
      <c r="K19" s="13" t="s">
        <v>215</v>
      </c>
      <c r="L19" s="13">
        <f>'DATOS INCERTIDUMBRE'!E4</f>
        <v>0</v>
      </c>
    </row>
    <row r="20" spans="2:12" x14ac:dyDescent="0.3">
      <c r="B20" s="13">
        <v>3</v>
      </c>
      <c r="C20" s="13">
        <f>'DATOS INCERTIDUMBRE'!I22</f>
        <v>0</v>
      </c>
      <c r="D20" s="13">
        <f>'DATOS INCERTIDUMBRE'!H13</f>
        <v>0</v>
      </c>
      <c r="E20" s="13">
        <f t="shared" si="0"/>
        <v>0</v>
      </c>
      <c r="F20" s="13">
        <f>'DATOS INCERTIDUMBRE'!I13</f>
        <v>0</v>
      </c>
      <c r="G20" s="13">
        <f t="shared" si="1"/>
        <v>0</v>
      </c>
      <c r="H20" s="13">
        <f>'DATOS INCERTIDUMBRE'!J13</f>
        <v>0</v>
      </c>
      <c r="I20" s="13">
        <v>20</v>
      </c>
      <c r="J20" s="21"/>
      <c r="K20" s="21"/>
      <c r="L20" s="21"/>
    </row>
    <row r="21" spans="2:12" x14ac:dyDescent="0.3">
      <c r="B21" s="13">
        <v>4</v>
      </c>
      <c r="C21" s="13"/>
      <c r="D21" s="13">
        <f>'DATOS INCERTIDUMBRE'!H14</f>
        <v>0</v>
      </c>
      <c r="E21" s="13">
        <f t="shared" si="0"/>
        <v>0</v>
      </c>
      <c r="F21" s="13">
        <f>'DATOS INCERTIDUMBRE'!I14</f>
        <v>0</v>
      </c>
      <c r="G21" s="13">
        <f t="shared" si="1"/>
        <v>0</v>
      </c>
      <c r="H21" s="13">
        <f>'DATOS INCERTIDUMBRE'!J14</f>
        <v>0</v>
      </c>
      <c r="I21" s="13">
        <v>20</v>
      </c>
      <c r="J21" s="21"/>
      <c r="K21" s="372" t="s">
        <v>282</v>
      </c>
      <c r="L21" s="372"/>
    </row>
    <row r="22" spans="2:12" x14ac:dyDescent="0.3">
      <c r="B22" s="13">
        <v>5</v>
      </c>
      <c r="C22" s="13"/>
      <c r="D22" s="13">
        <f>'DATOS INCERTIDUMBRE'!H15</f>
        <v>0</v>
      </c>
      <c r="E22" s="13">
        <f t="shared" si="0"/>
        <v>0</v>
      </c>
      <c r="F22" s="13">
        <f>'DATOS INCERTIDUMBRE'!I15</f>
        <v>0</v>
      </c>
      <c r="G22" s="13">
        <f t="shared" si="1"/>
        <v>0</v>
      </c>
      <c r="H22" s="13">
        <f>'DATOS INCERTIDUMBRE'!J15</f>
        <v>0</v>
      </c>
      <c r="I22" s="13">
        <v>20</v>
      </c>
      <c r="J22" s="21"/>
      <c r="K22" s="14" t="s">
        <v>210</v>
      </c>
      <c r="L22" s="14">
        <f>'DATOS INCERTIDUMBRE'!I3</f>
        <v>0</v>
      </c>
    </row>
    <row r="23" spans="2:12" x14ac:dyDescent="0.3">
      <c r="B23" s="13">
        <v>6</v>
      </c>
      <c r="C23" s="13"/>
      <c r="D23" s="13">
        <f>'DATOS INCERTIDUMBRE'!H16</f>
        <v>0</v>
      </c>
      <c r="E23" s="13">
        <f t="shared" si="0"/>
        <v>0</v>
      </c>
      <c r="F23" s="13">
        <f>'DATOS INCERTIDUMBRE'!I16</f>
        <v>0</v>
      </c>
      <c r="G23" s="13">
        <f t="shared" si="1"/>
        <v>0</v>
      </c>
      <c r="H23" s="13">
        <f>'DATOS INCERTIDUMBRE'!J16</f>
        <v>0</v>
      </c>
      <c r="I23" s="13">
        <v>20</v>
      </c>
      <c r="J23" s="21"/>
      <c r="K23" s="14" t="s">
        <v>207</v>
      </c>
      <c r="L23" s="14">
        <f>'DATOS INCERTIDUMBRE'!I4</f>
        <v>0</v>
      </c>
    </row>
    <row r="24" spans="2:12" x14ac:dyDescent="0.3">
      <c r="B24" s="13" t="s">
        <v>233</v>
      </c>
      <c r="C24" s="73">
        <f>AVERAGE(C18:C20)</f>
        <v>0</v>
      </c>
      <c r="D24" s="17">
        <f t="shared" ref="D24:I24" si="2">AVERAGE(D18:D23)</f>
        <v>0</v>
      </c>
      <c r="E24" s="17">
        <f t="shared" si="2"/>
        <v>0</v>
      </c>
      <c r="F24" s="17">
        <f t="shared" si="2"/>
        <v>0</v>
      </c>
      <c r="G24" s="17">
        <f t="shared" si="2"/>
        <v>0</v>
      </c>
      <c r="H24" s="17">
        <f t="shared" si="2"/>
        <v>0</v>
      </c>
      <c r="I24" s="13">
        <f t="shared" si="2"/>
        <v>20</v>
      </c>
      <c r="J24" s="21"/>
      <c r="K24" s="14" t="s">
        <v>219</v>
      </c>
      <c r="L24" s="14">
        <f>'DATOS INCERTIDUMBRE'!I5</f>
        <v>0</v>
      </c>
    </row>
    <row r="25" spans="2:12" ht="15" thickBot="1" x14ac:dyDescent="0.35">
      <c r="B25" s="21"/>
      <c r="C25" s="21"/>
      <c r="D25" s="21"/>
      <c r="E25" s="21"/>
      <c r="F25" s="21"/>
      <c r="G25" s="21"/>
      <c r="H25" s="21"/>
      <c r="I25" s="21"/>
      <c r="J25" s="21"/>
      <c r="K25" s="21"/>
      <c r="L25" s="21"/>
    </row>
    <row r="26" spans="2:12" ht="43.2" x14ac:dyDescent="0.3">
      <c r="B26" s="383" t="s">
        <v>283</v>
      </c>
      <c r="C26" s="384"/>
      <c r="D26" s="48" t="s">
        <v>284</v>
      </c>
      <c r="E26" s="48" t="s">
        <v>285</v>
      </c>
      <c r="F26" s="48" t="s">
        <v>286</v>
      </c>
      <c r="G26" s="48" t="s">
        <v>287</v>
      </c>
      <c r="H26" s="49" t="s">
        <v>288</v>
      </c>
      <c r="I26" s="21"/>
      <c r="J26" s="21"/>
      <c r="K26" s="21"/>
    </row>
    <row r="27" spans="2:12" x14ac:dyDescent="0.3">
      <c r="B27" s="382" t="s">
        <v>289</v>
      </c>
      <c r="C27" s="374"/>
      <c r="D27" s="13">
        <v>0.01</v>
      </c>
      <c r="E27" s="13">
        <v>0.72</v>
      </c>
      <c r="F27" s="65">
        <v>0.29280805220320599</v>
      </c>
      <c r="G27" s="13">
        <v>0.72</v>
      </c>
      <c r="H27" s="51">
        <v>2</v>
      </c>
      <c r="I27" s="21"/>
      <c r="J27" s="21"/>
      <c r="K27" s="21"/>
    </row>
    <row r="28" spans="2:12" x14ac:dyDescent="0.3">
      <c r="B28" s="382" t="s">
        <v>290</v>
      </c>
      <c r="C28" s="374"/>
      <c r="D28" s="13">
        <v>0.01</v>
      </c>
      <c r="E28" s="13">
        <v>1.4</v>
      </c>
      <c r="F28" s="65">
        <v>0.96784641990197273</v>
      </c>
      <c r="G28" s="13">
        <v>1.4</v>
      </c>
      <c r="H28" s="51">
        <v>2</v>
      </c>
      <c r="I28" s="21"/>
      <c r="J28" s="21"/>
      <c r="K28" s="21"/>
    </row>
    <row r="29" spans="2:12" x14ac:dyDescent="0.3">
      <c r="B29" s="382" t="s">
        <v>291</v>
      </c>
      <c r="C29" s="374"/>
      <c r="D29" s="13">
        <v>0.01</v>
      </c>
      <c r="E29" s="13">
        <v>0.05</v>
      </c>
      <c r="F29" s="13">
        <v>1.477613477068178E-2</v>
      </c>
      <c r="G29" s="13">
        <v>4.8000000000000001E-2</v>
      </c>
      <c r="H29" s="51">
        <v>2</v>
      </c>
      <c r="I29" s="21"/>
      <c r="J29" s="21"/>
      <c r="K29" s="21"/>
    </row>
    <row r="30" spans="2:12" x14ac:dyDescent="0.3">
      <c r="B30" s="382" t="s">
        <v>292</v>
      </c>
      <c r="C30" s="374"/>
      <c r="D30" s="13">
        <v>0.01</v>
      </c>
      <c r="E30" s="13">
        <v>0.1</v>
      </c>
      <c r="F30" s="13">
        <v>4.0148458838126198E-2</v>
      </c>
      <c r="G30" s="13">
        <v>7.0000000000000007E-2</v>
      </c>
      <c r="H30" s="51">
        <v>2</v>
      </c>
      <c r="I30" s="21"/>
      <c r="J30" s="21"/>
      <c r="K30" s="21"/>
    </row>
    <row r="31" spans="2:12" x14ac:dyDescent="0.3">
      <c r="B31" s="382" t="s">
        <v>293</v>
      </c>
      <c r="C31" s="374"/>
      <c r="D31" s="13">
        <v>0.01</v>
      </c>
      <c r="E31" s="13">
        <v>0.81</v>
      </c>
      <c r="F31" s="13">
        <v>0.52098775494966099</v>
      </c>
      <c r="G31" s="13">
        <v>0.81</v>
      </c>
      <c r="H31" s="51">
        <v>2</v>
      </c>
      <c r="I31" s="21"/>
      <c r="J31" s="21"/>
      <c r="K31" s="21"/>
    </row>
    <row r="32" spans="2:12" x14ac:dyDescent="0.3">
      <c r="B32" s="39"/>
      <c r="C32" s="21"/>
      <c r="D32" s="21"/>
      <c r="E32" s="21"/>
      <c r="F32" s="21"/>
      <c r="G32" s="21"/>
      <c r="H32" s="40"/>
      <c r="I32" s="21"/>
      <c r="J32" s="21"/>
      <c r="K32" s="21"/>
    </row>
    <row r="33" spans="2:12" ht="35.4" customHeight="1" x14ac:dyDescent="0.3">
      <c r="B33" s="385" t="s">
        <v>266</v>
      </c>
      <c r="C33" s="386"/>
      <c r="D33" s="37" t="s">
        <v>294</v>
      </c>
      <c r="E33" s="37" t="s">
        <v>295</v>
      </c>
      <c r="F33" s="37" t="s">
        <v>296</v>
      </c>
      <c r="G33" s="37" t="s">
        <v>297</v>
      </c>
      <c r="H33" s="53" t="s">
        <v>298</v>
      </c>
      <c r="I33" s="54"/>
      <c r="J33" s="21"/>
      <c r="K33" s="21"/>
    </row>
    <row r="34" spans="2:12" x14ac:dyDescent="0.3">
      <c r="B34" s="382" t="s">
        <v>289</v>
      </c>
      <c r="C34" s="374"/>
      <c r="D34" s="13">
        <f>D27/SQRT(12)</f>
        <v>2.886751345948129E-3</v>
      </c>
      <c r="E34" s="13">
        <f>E27/SQRT(3)</f>
        <v>0.41569219381653055</v>
      </c>
      <c r="F34" s="13">
        <f>F27</f>
        <v>0.29280805220320599</v>
      </c>
      <c r="G34" s="13">
        <f>G27/H27</f>
        <v>0.36</v>
      </c>
      <c r="H34" s="233">
        <f>SQRT(SUMSQ(D34:G34))</f>
        <v>0.62301275169001857</v>
      </c>
      <c r="I34" s="21"/>
      <c r="J34" s="21"/>
      <c r="K34" s="21"/>
    </row>
    <row r="35" spans="2:12" x14ac:dyDescent="0.3">
      <c r="B35" s="382" t="s">
        <v>290</v>
      </c>
      <c r="C35" s="374"/>
      <c r="D35" s="13">
        <f t="shared" ref="D35:D38" si="3">D28/SQRT(12)</f>
        <v>2.886751345948129E-3</v>
      </c>
      <c r="E35" s="13">
        <f t="shared" ref="E35:E38" si="4">E28/SQRT(3)</f>
        <v>0.80829037686547611</v>
      </c>
      <c r="F35" s="13">
        <f>F28</f>
        <v>0.96784641990197273</v>
      </c>
      <c r="G35" s="13">
        <f t="shared" ref="G35:G38" si="5">G28/H28</f>
        <v>0.7</v>
      </c>
      <c r="H35" s="233">
        <f>SQRT(SUMSQ(D35:G35))</f>
        <v>1.4422442092737735</v>
      </c>
      <c r="I35" s="21"/>
      <c r="J35" s="21"/>
      <c r="K35" s="21"/>
    </row>
    <row r="36" spans="2:12" x14ac:dyDescent="0.3">
      <c r="B36" s="382" t="s">
        <v>291</v>
      </c>
      <c r="C36" s="374"/>
      <c r="D36" s="13">
        <f t="shared" si="3"/>
        <v>2.886751345948129E-3</v>
      </c>
      <c r="E36" s="13">
        <f t="shared" si="4"/>
        <v>2.8867513459481291E-2</v>
      </c>
      <c r="F36" s="13">
        <f t="shared" ref="F36:F38" si="6">F29</f>
        <v>1.477613477068178E-2</v>
      </c>
      <c r="G36" s="13">
        <f t="shared" si="5"/>
        <v>2.4E-2</v>
      </c>
      <c r="H36" s="233">
        <f>SQRT(SUMSQ(D36:G36))</f>
        <v>4.0447507036009252E-2</v>
      </c>
      <c r="I36" s="21"/>
      <c r="J36" s="21"/>
      <c r="K36" s="21"/>
    </row>
    <row r="37" spans="2:12" x14ac:dyDescent="0.3">
      <c r="B37" s="382" t="s">
        <v>292</v>
      </c>
      <c r="C37" s="374"/>
      <c r="D37" s="13">
        <f t="shared" si="3"/>
        <v>2.886751345948129E-3</v>
      </c>
      <c r="E37" s="13">
        <f t="shared" si="4"/>
        <v>5.7735026918962581E-2</v>
      </c>
      <c r="F37" s="13">
        <f t="shared" si="6"/>
        <v>4.0148458838126198E-2</v>
      </c>
      <c r="G37" s="55">
        <f t="shared" si="5"/>
        <v>3.5000000000000003E-2</v>
      </c>
      <c r="H37" s="233">
        <f>SQRT(SUMSQ(D37:G37))</f>
        <v>7.8603851138117783E-2</v>
      </c>
      <c r="I37" s="21"/>
      <c r="J37" s="21"/>
      <c r="K37" s="21"/>
    </row>
    <row r="38" spans="2:12" x14ac:dyDescent="0.3">
      <c r="B38" s="382" t="s">
        <v>293</v>
      </c>
      <c r="C38" s="374"/>
      <c r="D38" s="13">
        <f t="shared" si="3"/>
        <v>2.886751345948129E-3</v>
      </c>
      <c r="E38" s="13">
        <f t="shared" si="4"/>
        <v>0.4676537180435969</v>
      </c>
      <c r="F38" s="13">
        <f t="shared" si="6"/>
        <v>0.52098775494966099</v>
      </c>
      <c r="G38" s="55">
        <f t="shared" si="5"/>
        <v>0.40500000000000003</v>
      </c>
      <c r="H38" s="233">
        <f>SQRT(SUMSQ(D38:G38))</f>
        <v>0.80880255572100002</v>
      </c>
      <c r="I38" s="21"/>
      <c r="J38" s="21"/>
      <c r="K38" s="21"/>
    </row>
    <row r="39" spans="2:12" x14ac:dyDescent="0.3">
      <c r="B39" s="39"/>
      <c r="C39" s="21"/>
      <c r="D39" s="21"/>
      <c r="E39" s="21"/>
      <c r="F39" s="21"/>
      <c r="G39" s="21"/>
      <c r="H39" s="40"/>
      <c r="I39" s="21"/>
      <c r="J39" s="21"/>
      <c r="K39" s="21"/>
      <c r="L39" s="21"/>
    </row>
    <row r="40" spans="2:12" ht="49.35" customHeight="1" x14ac:dyDescent="0.3">
      <c r="B40" s="385" t="s">
        <v>266</v>
      </c>
      <c r="C40" s="386"/>
      <c r="D40" s="37" t="s">
        <v>299</v>
      </c>
      <c r="E40" s="37" t="s">
        <v>268</v>
      </c>
      <c r="F40" s="37" t="s">
        <v>300</v>
      </c>
      <c r="G40" s="21"/>
      <c r="H40" s="40"/>
      <c r="I40" s="21"/>
      <c r="J40" s="21"/>
      <c r="K40" s="21"/>
      <c r="L40" s="21"/>
    </row>
    <row r="41" spans="2:12" x14ac:dyDescent="0.3">
      <c r="B41" s="382" t="s">
        <v>289</v>
      </c>
      <c r="C41" s="374"/>
      <c r="D41" s="13">
        <f>H34</f>
        <v>0.62301275169001857</v>
      </c>
      <c r="E41" s="13">
        <f>+(D41^4)/(((D34^4)/200)+((E34^4)/50)+((F34^4)/12)+((G34^4)/200))</f>
        <v>116.45027259356056</v>
      </c>
      <c r="F41" s="13">
        <v>1</v>
      </c>
      <c r="G41" s="21"/>
      <c r="H41" s="40"/>
      <c r="I41" s="21"/>
      <c r="J41" s="21"/>
      <c r="K41" s="21"/>
      <c r="L41" s="21"/>
    </row>
    <row r="42" spans="2:12" x14ac:dyDescent="0.3">
      <c r="B42" s="382" t="s">
        <v>290</v>
      </c>
      <c r="C42" s="374"/>
      <c r="D42" s="13">
        <f>H35</f>
        <v>1.4422442092737735</v>
      </c>
      <c r="E42" s="13">
        <f>+(D42^4)/(((D35^4)/200)+((E35^4)/50)+((F35^4)/11)+((G35^4)/200))</f>
        <v>48.339494828416804</v>
      </c>
      <c r="F42" s="13">
        <v>1</v>
      </c>
      <c r="G42" s="21"/>
      <c r="H42" s="40"/>
      <c r="I42" s="21"/>
      <c r="J42" s="21"/>
      <c r="K42" s="21"/>
      <c r="L42" s="21"/>
    </row>
    <row r="43" spans="2:12" x14ac:dyDescent="0.3">
      <c r="B43" s="382" t="s">
        <v>291</v>
      </c>
      <c r="C43" s="374"/>
      <c r="D43" s="13">
        <f>H36</f>
        <v>4.0447507036009252E-2</v>
      </c>
      <c r="E43" s="13">
        <f>+(D43^4)/(((D36^4)/200)+((E36^4)/50)+((F36^4)/9)+((G36^4)/200))</f>
        <v>128.40150521358458</v>
      </c>
      <c r="F43" s="13">
        <v>1</v>
      </c>
      <c r="G43" s="21"/>
      <c r="H43" s="40"/>
      <c r="I43" s="21"/>
      <c r="J43" s="21"/>
      <c r="K43" s="21"/>
      <c r="L43" s="21"/>
    </row>
    <row r="44" spans="2:12" x14ac:dyDescent="0.3">
      <c r="B44" s="382" t="s">
        <v>292</v>
      </c>
      <c r="C44" s="374"/>
      <c r="D44" s="13">
        <f>H37</f>
        <v>7.8603851138117783E-2</v>
      </c>
      <c r="E44" s="13">
        <f>+(D44^4)/(((D37^4)/200)+((E37^4)/50)+((F37^4)/10)+((G37^4)/200))</f>
        <v>77.979510367822726</v>
      </c>
      <c r="F44" s="13">
        <v>1</v>
      </c>
      <c r="G44" s="21"/>
      <c r="H44" s="76"/>
      <c r="I44" s="21"/>
      <c r="J44" s="21"/>
      <c r="K44" s="21"/>
      <c r="L44" s="21"/>
    </row>
    <row r="45" spans="2:12" x14ac:dyDescent="0.3">
      <c r="B45" s="382" t="s">
        <v>293</v>
      </c>
      <c r="C45" s="374"/>
      <c r="D45" s="13">
        <f>H38</f>
        <v>0.80880255572100002</v>
      </c>
      <c r="E45" s="13">
        <f>+(D45^4)/(((D38^4)/200)+((E38^4)/50)+((F38^4)/11)+((G38^4)/200))</f>
        <v>54.942172708933271</v>
      </c>
      <c r="F45" s="13">
        <v>1</v>
      </c>
      <c r="G45" s="21"/>
      <c r="H45" s="40"/>
      <c r="I45" s="21"/>
      <c r="J45" s="21"/>
      <c r="K45" s="21"/>
      <c r="L45" s="21"/>
    </row>
    <row r="46" spans="2:12" x14ac:dyDescent="0.3">
      <c r="B46" s="56"/>
      <c r="C46" s="57"/>
      <c r="D46" s="57"/>
      <c r="E46" s="21"/>
      <c r="F46" s="21"/>
      <c r="G46" s="21"/>
      <c r="H46" s="40"/>
      <c r="I46" s="21"/>
      <c r="J46" s="21"/>
      <c r="K46" s="21"/>
      <c r="L46" s="21"/>
    </row>
    <row r="47" spans="2:12" ht="28.8" x14ac:dyDescent="0.3">
      <c r="B47" s="58" t="s">
        <v>301</v>
      </c>
      <c r="C47" s="37" t="s">
        <v>268</v>
      </c>
      <c r="D47" s="37" t="s">
        <v>300</v>
      </c>
      <c r="E47" s="21"/>
      <c r="F47" s="21"/>
      <c r="G47" s="21"/>
      <c r="H47" s="40"/>
      <c r="I47" s="21"/>
      <c r="J47" s="21"/>
      <c r="K47" s="21"/>
      <c r="L47" s="21"/>
    </row>
    <row r="48" spans="2:12" ht="15" thickBot="1" x14ac:dyDescent="0.35">
      <c r="B48" s="59" t="e">
        <f>SQRT(SUMSQ(IF(G2="VST 1 - 1000",$D$41*$F$41,IF(G2="VST 1 - 5000",$D$42*$F$42,IF(G2="VST 2 - 145",$D$43*$F$43,IF(G2="VST 2 - 870",$D$44*$F$44,IF(G2="VST 2 - 3625",$D$45*$F$45,"ERROR"))))),$C$66*$E$66))</f>
        <v>#DIV/0!</v>
      </c>
      <c r="C48" s="60" t="e">
        <f>+($B$48^4)/(IF(G2="VST 1 - 1000",((($D$41*$F$41)^4)/$E$41),IF(G2="VST 1 - 5000",((($D$42*$F$42)^4)/$E$42),IF(G2="VST 2 - 145",((($D$43*$F$43)^4)/$E$43),IF(G2="VST 2 - 870",((($D$44*$F$44)^4)/$E$44),IF(G2="VST 2 - 3625",((($D$45*$F$45)^4)/$E$45),"ERROR")))))+((($C$66*$E$66)^4)/$D$66))</f>
        <v>#DIV/0!</v>
      </c>
      <c r="D48" s="61">
        <v>1</v>
      </c>
      <c r="E48" s="43"/>
      <c r="F48" s="43"/>
      <c r="G48" s="43"/>
      <c r="H48" s="44"/>
      <c r="I48" s="21"/>
      <c r="J48" s="21"/>
      <c r="K48" s="21"/>
      <c r="L48" s="21"/>
    </row>
    <row r="49" spans="2:18" ht="15" thickBot="1" x14ac:dyDescent="0.35">
      <c r="B49" s="21"/>
      <c r="C49" s="21"/>
      <c r="D49" s="21"/>
      <c r="E49" s="21"/>
      <c r="F49" s="21"/>
      <c r="G49" s="21"/>
      <c r="H49" s="21"/>
      <c r="I49" s="21"/>
      <c r="J49" s="21"/>
      <c r="K49" s="21"/>
      <c r="L49" s="21"/>
    </row>
    <row r="50" spans="2:18" ht="57.6" x14ac:dyDescent="0.3">
      <c r="B50" s="383" t="s">
        <v>302</v>
      </c>
      <c r="C50" s="384"/>
      <c r="D50" s="48" t="s">
        <v>303</v>
      </c>
      <c r="E50" s="48" t="s">
        <v>304</v>
      </c>
      <c r="F50" s="48" t="s">
        <v>305</v>
      </c>
      <c r="G50" s="48" t="s">
        <v>306</v>
      </c>
      <c r="H50" s="48" t="s">
        <v>307</v>
      </c>
      <c r="I50" s="36"/>
      <c r="J50" s="21"/>
      <c r="K50" s="383" t="s">
        <v>302</v>
      </c>
      <c r="L50" s="384"/>
      <c r="M50" s="48" t="s">
        <v>303</v>
      </c>
      <c r="N50" s="48" t="s">
        <v>304</v>
      </c>
      <c r="O50" s="48" t="s">
        <v>305</v>
      </c>
      <c r="P50" s="48" t="s">
        <v>306</v>
      </c>
      <c r="Q50" s="48" t="s">
        <v>308</v>
      </c>
      <c r="R50" s="36"/>
    </row>
    <row r="51" spans="2:18" x14ac:dyDescent="0.3">
      <c r="B51" s="382" t="s">
        <v>309</v>
      </c>
      <c r="C51" s="374"/>
      <c r="D51" s="13">
        <f>1/1000</f>
        <v>1E-3</v>
      </c>
      <c r="E51" s="13">
        <f>0.42/1000</f>
        <v>4.1999999999999996E-4</v>
      </c>
      <c r="F51" s="13">
        <f>0.0367581286850754/1000</f>
        <v>3.6758128685075402E-5</v>
      </c>
      <c r="G51" s="13">
        <f>0.42/1000</f>
        <v>4.1999999999999996E-4</v>
      </c>
      <c r="H51" s="13">
        <v>2.0099999999999998</v>
      </c>
      <c r="I51" s="40"/>
      <c r="J51" s="21"/>
      <c r="K51" s="390" t="s">
        <v>310</v>
      </c>
      <c r="L51" s="391"/>
      <c r="M51" s="13">
        <v>0.1</v>
      </c>
      <c r="N51" s="13">
        <v>9.0999999999999998E-2</v>
      </c>
      <c r="O51" s="13">
        <v>2.59</v>
      </c>
      <c r="P51" s="13">
        <v>9.0999999999999998E-2</v>
      </c>
      <c r="Q51" s="13">
        <v>2</v>
      </c>
      <c r="R51" s="40"/>
    </row>
    <row r="52" spans="2:18" x14ac:dyDescent="0.3">
      <c r="B52" s="39"/>
      <c r="C52" s="21"/>
      <c r="D52" s="21"/>
      <c r="E52" s="21"/>
      <c r="F52" s="21"/>
      <c r="G52" s="21"/>
      <c r="H52" s="21"/>
      <c r="I52" s="40"/>
      <c r="J52" s="21"/>
      <c r="K52" s="390" t="s">
        <v>311</v>
      </c>
      <c r="L52" s="391"/>
      <c r="M52" s="13">
        <v>0.1</v>
      </c>
      <c r="N52" s="13">
        <v>2.9</v>
      </c>
      <c r="O52" s="13">
        <v>3.32</v>
      </c>
      <c r="P52" s="13">
        <v>2.9</v>
      </c>
      <c r="Q52" s="13">
        <v>2</v>
      </c>
      <c r="R52" s="40"/>
    </row>
    <row r="53" spans="2:18" x14ac:dyDescent="0.3">
      <c r="B53" s="52" t="s">
        <v>266</v>
      </c>
      <c r="C53" s="15" t="s">
        <v>212</v>
      </c>
      <c r="D53" s="21"/>
      <c r="E53" s="25"/>
      <c r="F53" s="25"/>
      <c r="G53" s="21"/>
      <c r="H53" s="21"/>
      <c r="I53" s="40"/>
      <c r="J53" s="21"/>
      <c r="K53" s="377" t="s">
        <v>312</v>
      </c>
      <c r="L53" s="378"/>
      <c r="M53" s="13">
        <v>0.1</v>
      </c>
      <c r="N53" s="13">
        <v>0.46</v>
      </c>
      <c r="O53" s="13">
        <v>0.76</v>
      </c>
      <c r="P53" s="13">
        <v>0.46</v>
      </c>
      <c r="Q53" s="13">
        <v>2</v>
      </c>
      <c r="R53" s="40"/>
    </row>
    <row r="54" spans="2:18" x14ac:dyDescent="0.3">
      <c r="B54" s="52" t="s">
        <v>313</v>
      </c>
      <c r="C54" s="13" t="e">
        <f>1/L24</f>
        <v>#DIV/0!</v>
      </c>
      <c r="D54" s="21"/>
      <c r="E54" s="21"/>
      <c r="F54" s="21"/>
      <c r="G54" s="21"/>
      <c r="H54" s="21"/>
      <c r="I54" s="40"/>
      <c r="J54" s="21"/>
      <c r="K54" s="39"/>
      <c r="L54" s="21"/>
      <c r="M54" s="21"/>
      <c r="N54" s="21"/>
      <c r="O54" s="21"/>
      <c r="P54" s="21"/>
      <c r="Q54" s="21"/>
      <c r="R54" s="40"/>
    </row>
    <row r="55" spans="2:18" ht="43.2" x14ac:dyDescent="0.3">
      <c r="B55" s="52" t="s">
        <v>314</v>
      </c>
      <c r="C55" s="13">
        <f>((0.34848*L19)-(0.009*L17)*EXP(0.061*L18))/(273.15+L18)</f>
        <v>0</v>
      </c>
      <c r="D55" s="21"/>
      <c r="E55" s="21"/>
      <c r="F55" s="21"/>
      <c r="G55" s="21"/>
      <c r="H55" s="21"/>
      <c r="I55" s="40"/>
      <c r="J55" s="21"/>
      <c r="K55" s="52" t="s">
        <v>266</v>
      </c>
      <c r="L55" s="37" t="s">
        <v>315</v>
      </c>
      <c r="M55" s="37" t="s">
        <v>316</v>
      </c>
      <c r="N55" s="37" t="s">
        <v>317</v>
      </c>
      <c r="O55" s="37" t="s">
        <v>318</v>
      </c>
      <c r="P55" s="37" t="s">
        <v>319</v>
      </c>
      <c r="Q55" s="37" t="s">
        <v>267</v>
      </c>
      <c r="R55" s="53" t="s">
        <v>268</v>
      </c>
    </row>
    <row r="56" spans="2:18" x14ac:dyDescent="0.3">
      <c r="B56" s="52" t="s">
        <v>320</v>
      </c>
      <c r="C56" s="13">
        <v>9.77</v>
      </c>
      <c r="D56" s="21"/>
      <c r="E56" s="21"/>
      <c r="F56" s="21"/>
      <c r="G56" s="21"/>
      <c r="H56" s="21"/>
      <c r="I56" s="40"/>
      <c r="J56" s="21"/>
      <c r="K56" s="50" t="s">
        <v>321</v>
      </c>
      <c r="L56" s="13">
        <f>M51/SQRT(12)</f>
        <v>2.8867513459481291E-2</v>
      </c>
      <c r="M56" s="13">
        <f>N51/SQRT(3)</f>
        <v>5.2538874496255945E-2</v>
      </c>
      <c r="N56" s="13">
        <f>O51</f>
        <v>2.59</v>
      </c>
      <c r="O56" s="13">
        <f>P51/Q51</f>
        <v>4.5499999999999999E-2</v>
      </c>
      <c r="P56" s="13">
        <f>SQRT(SUMSQ(L56:O56))</f>
        <v>2.5910931894987228</v>
      </c>
      <c r="Q56" s="13">
        <f>0.34848/(273.15+L18)</f>
        <v>1.2757825370675454E-3</v>
      </c>
      <c r="R56" s="51">
        <f>+(P56^4)/(((L56^4)/200)+((M56^4)/50)+((N56^4)/200)+((O56^4)/200))</f>
        <v>200.33772069018843</v>
      </c>
    </row>
    <row r="57" spans="2:18" x14ac:dyDescent="0.3">
      <c r="B57" s="52" t="s">
        <v>236</v>
      </c>
      <c r="C57" s="13">
        <f>'DATOS INCERTIDUMBRE'!I24</f>
        <v>0</v>
      </c>
      <c r="D57" s="21"/>
      <c r="E57" s="21"/>
      <c r="F57" s="21"/>
      <c r="G57" s="21"/>
      <c r="H57" s="21"/>
      <c r="I57" s="40"/>
      <c r="J57" s="21"/>
      <c r="K57" s="50" t="s">
        <v>322</v>
      </c>
      <c r="L57" s="13">
        <f t="shared" ref="L57:L58" si="7">M52/SQRT(12)</f>
        <v>2.8867513459481291E-2</v>
      </c>
      <c r="M57" s="13">
        <f t="shared" ref="M57:M58" si="8">N52/SQRT(3)</f>
        <v>1.6743157806499147</v>
      </c>
      <c r="N57" s="13">
        <f t="shared" ref="N57:N58" si="9">O52</f>
        <v>3.32</v>
      </c>
      <c r="O57" s="13">
        <f t="shared" ref="O57:O58" si="10">P52/Q52</f>
        <v>1.45</v>
      </c>
      <c r="P57" s="13">
        <f t="shared" ref="P57:P58" si="11">SQRT(SUMSQ(L57:O57))</f>
        <v>3.9911234842668883</v>
      </c>
      <c r="Q57" s="13">
        <f>(-0.009*EXP(0.061*L18))/(273.15+L18)</f>
        <v>-3.2948929159802305E-5</v>
      </c>
      <c r="R57" s="51">
        <f t="shared" ref="R57" si="12">+(P57^4)/(((L57^4)/200)+((M57^4)/50)+((N57^4)/200)+((O57^4)/200))</f>
        <v>322.51357072636006</v>
      </c>
    </row>
    <row r="58" spans="2:18" x14ac:dyDescent="0.3">
      <c r="B58" s="39"/>
      <c r="C58" s="21"/>
      <c r="D58" s="21"/>
      <c r="E58" s="21"/>
      <c r="F58" s="21"/>
      <c r="G58" s="21"/>
      <c r="H58" s="21"/>
      <c r="I58" s="40"/>
      <c r="J58" s="21"/>
      <c r="K58" s="50" t="s">
        <v>207</v>
      </c>
      <c r="L58" s="13">
        <f t="shared" si="7"/>
        <v>2.8867513459481291E-2</v>
      </c>
      <c r="M58" s="13">
        <f t="shared" si="8"/>
        <v>0.26558112382722787</v>
      </c>
      <c r="N58" s="13">
        <f t="shared" si="9"/>
        <v>0.76</v>
      </c>
      <c r="O58" s="13">
        <f t="shared" si="10"/>
        <v>0.23</v>
      </c>
      <c r="P58" s="13">
        <f t="shared" si="11"/>
        <v>0.83777483052826707</v>
      </c>
      <c r="Q58" s="13">
        <f>(-0.000549*L17*EXP(0.061*L18)*(273.15+L18))-((0.34848*L19)-0.009*L17*EXP(0.061*L18))/((273.15+L18)^2)</f>
        <v>0</v>
      </c>
      <c r="R58" s="51">
        <f>+(P58^4)/(((L58^4)/200)+((M58^4)/50)+((N58^4)/200)+(O58^4)/200)</f>
        <v>276.50196061536349</v>
      </c>
    </row>
    <row r="59" spans="2:18" ht="28.8" x14ac:dyDescent="0.3">
      <c r="B59" s="50" t="s">
        <v>266</v>
      </c>
      <c r="C59" s="15" t="s">
        <v>315</v>
      </c>
      <c r="D59" s="15" t="s">
        <v>316</v>
      </c>
      <c r="E59" s="37" t="s">
        <v>317</v>
      </c>
      <c r="F59" s="15" t="s">
        <v>323</v>
      </c>
      <c r="G59" s="37" t="s">
        <v>319</v>
      </c>
      <c r="H59" s="37" t="s">
        <v>267</v>
      </c>
      <c r="I59" s="53" t="s">
        <v>268</v>
      </c>
      <c r="J59" s="21"/>
      <c r="K59" s="39"/>
      <c r="L59" s="21"/>
      <c r="M59" s="21"/>
      <c r="N59" s="21"/>
      <c r="O59" s="21"/>
      <c r="P59" s="21"/>
      <c r="Q59" s="21"/>
      <c r="R59" s="40"/>
    </row>
    <row r="60" spans="2:18" ht="28.8" x14ac:dyDescent="0.3">
      <c r="B60" s="50" t="s">
        <v>313</v>
      </c>
      <c r="C60" s="13" t="s">
        <v>209</v>
      </c>
      <c r="D60" s="13" t="s">
        <v>209</v>
      </c>
      <c r="E60" s="13" t="s">
        <v>209</v>
      </c>
      <c r="F60" s="13" t="s">
        <v>209</v>
      </c>
      <c r="G60" s="13" t="e">
        <f>C54*0.1/SQRT(12)</f>
        <v>#DIV/0!</v>
      </c>
      <c r="H60" s="13">
        <f>C56*C57</f>
        <v>0</v>
      </c>
      <c r="I60" s="51" t="e">
        <f>+(G60^4)/((G60^4)/200)</f>
        <v>#DIV/0!</v>
      </c>
      <c r="J60" s="21"/>
      <c r="K60" s="52" t="s">
        <v>324</v>
      </c>
      <c r="L60" s="37" t="s">
        <v>268</v>
      </c>
      <c r="M60" s="21"/>
      <c r="N60" s="21"/>
      <c r="O60" s="21"/>
      <c r="P60" s="21"/>
      <c r="Q60" s="21"/>
      <c r="R60" s="40"/>
    </row>
    <row r="61" spans="2:18" ht="15" thickBot="1" x14ac:dyDescent="0.35">
      <c r="B61" s="50" t="s">
        <v>314</v>
      </c>
      <c r="C61" s="13" t="s">
        <v>209</v>
      </c>
      <c r="D61" s="13" t="s">
        <v>209</v>
      </c>
      <c r="E61" s="13" t="s">
        <v>209</v>
      </c>
      <c r="F61" s="13" t="s">
        <v>209</v>
      </c>
      <c r="G61" s="13">
        <f>K61</f>
        <v>3.3082860808896558E-3</v>
      </c>
      <c r="H61" s="13">
        <f>C56*C57</f>
        <v>0</v>
      </c>
      <c r="I61" s="51">
        <f>L61</f>
        <v>200.97199303534532</v>
      </c>
      <c r="J61" s="21"/>
      <c r="K61" s="59">
        <f>SQRT(SUMSQ(P56*Q56,P57*Q57,P58*Q58))</f>
        <v>3.3082860808896558E-3</v>
      </c>
      <c r="L61" s="61">
        <f>+(K61^4)/((((P56*Q56)^4)/R56)+(((P57*Q57)^4)/R57)+(((P58*Q58)^4)/R58))</f>
        <v>200.97199303534532</v>
      </c>
      <c r="M61" s="43"/>
      <c r="N61" s="43"/>
      <c r="O61" s="43"/>
      <c r="P61" s="43"/>
      <c r="Q61" s="43"/>
      <c r="R61" s="62"/>
    </row>
    <row r="62" spans="2:18" x14ac:dyDescent="0.3">
      <c r="B62" s="50" t="s">
        <v>320</v>
      </c>
      <c r="C62" s="13" t="s">
        <v>209</v>
      </c>
      <c r="D62" s="13" t="s">
        <v>209</v>
      </c>
      <c r="E62" s="13" t="s">
        <v>209</v>
      </c>
      <c r="F62" s="13" t="s">
        <v>209</v>
      </c>
      <c r="G62" s="13">
        <f>C56*0.1/SQRT(12)</f>
        <v>0.28203560649913217</v>
      </c>
      <c r="H62" s="13" t="e">
        <f>(C54-C55)*C57</f>
        <v>#DIV/0!</v>
      </c>
      <c r="I62" s="51">
        <f t="shared" ref="I62" si="13">+(G62^4)/((G62^4)/200)</f>
        <v>200.00000000000003</v>
      </c>
      <c r="J62" s="21"/>
      <c r="K62" s="21"/>
      <c r="L62" s="21"/>
    </row>
    <row r="63" spans="2:18" x14ac:dyDescent="0.3">
      <c r="B63" s="50" t="s">
        <v>236</v>
      </c>
      <c r="C63" s="13">
        <f>D51/SQRT(12)</f>
        <v>2.886751345948129E-4</v>
      </c>
      <c r="D63" s="13">
        <f>E51/SQRT(3)</f>
        <v>2.4248711305964281E-4</v>
      </c>
      <c r="E63" s="13">
        <f>F51</f>
        <v>3.6758128685075402E-5</v>
      </c>
      <c r="F63" s="13">
        <f>G51/H51</f>
        <v>2.0895522388059701E-4</v>
      </c>
      <c r="G63" s="13">
        <f>SQRT(SUMSQ(C63:F63))</f>
        <v>4.3260464507995327E-4</v>
      </c>
      <c r="H63" s="13" t="e">
        <f>(C54-C55)*C56</f>
        <v>#DIV/0!</v>
      </c>
      <c r="I63" s="78">
        <f>+(G63^4)/(((C63^4)/200)+((D63^4)/50)+((E63^4)/10)+((F63^4)/200))</f>
        <v>308.34831834286325</v>
      </c>
      <c r="J63" s="21"/>
      <c r="K63" s="21"/>
      <c r="L63" s="21"/>
    </row>
    <row r="64" spans="2:18" x14ac:dyDescent="0.3">
      <c r="B64" s="39"/>
      <c r="C64" s="21"/>
      <c r="D64" s="21"/>
      <c r="E64" s="21"/>
      <c r="F64" s="21"/>
      <c r="G64" s="21"/>
      <c r="H64" s="21"/>
      <c r="I64" s="40"/>
      <c r="J64" s="21"/>
      <c r="K64" s="21"/>
      <c r="L64" s="21"/>
    </row>
    <row r="65" spans="2:15" ht="28.8" x14ac:dyDescent="0.3">
      <c r="B65" s="58" t="s">
        <v>325</v>
      </c>
      <c r="C65" s="37" t="s">
        <v>326</v>
      </c>
      <c r="D65" s="37" t="s">
        <v>268</v>
      </c>
      <c r="E65" s="37" t="s">
        <v>300</v>
      </c>
      <c r="F65" s="21"/>
      <c r="G65" s="63"/>
      <c r="H65" s="21"/>
      <c r="I65" s="40"/>
      <c r="J65" s="21"/>
      <c r="K65" s="21"/>
      <c r="L65" s="21"/>
    </row>
    <row r="66" spans="2:15" ht="15" thickBot="1" x14ac:dyDescent="0.35">
      <c r="B66" s="59" t="e">
        <f>SQRT(SUMSQ(G60*H60,G61*H61,G62*H62,G63*H63))</f>
        <v>#DIV/0!</v>
      </c>
      <c r="C66" s="79" t="e">
        <f>B66/6894.757</f>
        <v>#DIV/0!</v>
      </c>
      <c r="D66" s="60" t="e">
        <f>(B66^4)/((((G60*H60)^4)/I60)+(((G61*H61)^4)/I61)+(((G62*H62)^4)/I62)+(((G63*H63)^4)/I63))</f>
        <v>#DIV/0!</v>
      </c>
      <c r="E66" s="61">
        <v>1</v>
      </c>
      <c r="F66" s="43"/>
      <c r="G66" s="43"/>
      <c r="H66" s="43"/>
      <c r="I66" s="44"/>
      <c r="J66" s="21"/>
      <c r="K66" s="21"/>
      <c r="L66" s="21"/>
    </row>
    <row r="67" spans="2:15" ht="15" thickBot="1" x14ac:dyDescent="0.35">
      <c r="B67" s="21"/>
      <c r="C67" s="21"/>
      <c r="D67" s="21"/>
      <c r="E67" s="21"/>
      <c r="F67" s="21"/>
      <c r="G67" s="21"/>
      <c r="H67" s="21"/>
      <c r="I67" s="21"/>
      <c r="J67" s="21"/>
      <c r="K67" s="21"/>
      <c r="L67" s="21"/>
    </row>
    <row r="68" spans="2:15" ht="28.8" x14ac:dyDescent="0.3">
      <c r="B68" s="383" t="s">
        <v>327</v>
      </c>
      <c r="C68" s="384"/>
      <c r="D68" s="48" t="s">
        <v>328</v>
      </c>
      <c r="E68" s="48" t="s">
        <v>329</v>
      </c>
      <c r="F68" s="48" t="s">
        <v>330</v>
      </c>
      <c r="G68" s="64" t="s">
        <v>331</v>
      </c>
      <c r="H68" s="48" t="s">
        <v>288</v>
      </c>
      <c r="I68" s="36"/>
      <c r="J68" s="21"/>
      <c r="K68" s="21"/>
      <c r="L68" s="21"/>
    </row>
    <row r="69" spans="2:15" x14ac:dyDescent="0.3">
      <c r="B69" s="377" t="s">
        <v>332</v>
      </c>
      <c r="C69" s="378"/>
      <c r="D69" s="176">
        <v>4.0000000000000002E-4</v>
      </c>
      <c r="E69" s="13">
        <f>G69</f>
        <v>0</v>
      </c>
      <c r="F69" s="13">
        <v>1.20499518150945E-3</v>
      </c>
      <c r="G69" s="26">
        <f>(0.13/100)*$D$86</f>
        <v>0</v>
      </c>
      <c r="H69" s="176">
        <v>2</v>
      </c>
      <c r="I69" s="40"/>
      <c r="J69" s="21"/>
      <c r="K69" s="21"/>
      <c r="L69" s="21"/>
    </row>
    <row r="70" spans="2:15" x14ac:dyDescent="0.3">
      <c r="B70" s="382" t="s">
        <v>333</v>
      </c>
      <c r="C70" s="374"/>
      <c r="D70" s="13">
        <v>1E-3</v>
      </c>
      <c r="E70" s="13">
        <f>G70</f>
        <v>0</v>
      </c>
      <c r="F70" s="13">
        <v>7.3385147885770101E-3</v>
      </c>
      <c r="G70" s="26">
        <f>(0.07/100)*$D$86</f>
        <v>0</v>
      </c>
      <c r="H70" s="13">
        <v>2</v>
      </c>
      <c r="I70" s="40"/>
      <c r="J70" s="21"/>
      <c r="K70" s="21"/>
      <c r="L70" s="21"/>
    </row>
    <row r="71" spans="2:15" x14ac:dyDescent="0.3">
      <c r="B71" s="382" t="s">
        <v>334</v>
      </c>
      <c r="C71" s="374"/>
      <c r="D71" s="13">
        <v>1E-3</v>
      </c>
      <c r="E71" s="13">
        <f t="shared" ref="E71:E73" si="14">G71</f>
        <v>0</v>
      </c>
      <c r="F71" s="13">
        <v>2.3402927664066191E-2</v>
      </c>
      <c r="G71" s="26">
        <f t="shared" ref="G71:G73" si="15">(0.07/100)*$D$86</f>
        <v>0</v>
      </c>
      <c r="H71" s="13">
        <v>2</v>
      </c>
      <c r="I71" s="40"/>
      <c r="J71" s="21"/>
      <c r="K71" s="21"/>
      <c r="L71" s="21"/>
    </row>
    <row r="72" spans="2:15" x14ac:dyDescent="0.3">
      <c r="B72" s="382" t="s">
        <v>335</v>
      </c>
      <c r="C72" s="374"/>
      <c r="D72" s="13">
        <v>1E-3</v>
      </c>
      <c r="E72" s="13">
        <f t="shared" si="14"/>
        <v>0</v>
      </c>
      <c r="F72" s="13">
        <v>2.4671976476917736E-2</v>
      </c>
      <c r="G72" s="26">
        <f t="shared" si="15"/>
        <v>0</v>
      </c>
      <c r="H72" s="13">
        <v>2</v>
      </c>
      <c r="I72" s="40"/>
      <c r="J72" s="21"/>
      <c r="K72" s="21"/>
      <c r="L72" s="21"/>
    </row>
    <row r="73" spans="2:15" x14ac:dyDescent="0.3">
      <c r="B73" s="382" t="s">
        <v>336</v>
      </c>
      <c r="C73" s="374"/>
      <c r="D73" s="13">
        <v>1E-3</v>
      </c>
      <c r="E73" s="13">
        <f t="shared" si="14"/>
        <v>0</v>
      </c>
      <c r="F73" s="13">
        <v>2.231251198397971E-2</v>
      </c>
      <c r="G73" s="26">
        <f t="shared" si="15"/>
        <v>0</v>
      </c>
      <c r="H73" s="13">
        <v>2</v>
      </c>
      <c r="I73" s="40"/>
      <c r="J73" s="21"/>
      <c r="K73" s="21"/>
      <c r="L73" s="21"/>
    </row>
    <row r="74" spans="2:15" x14ac:dyDescent="0.3">
      <c r="B74" s="382" t="s">
        <v>337</v>
      </c>
      <c r="C74" s="374"/>
      <c r="D74" s="13">
        <v>4.0000000000000001E-3</v>
      </c>
      <c r="E74" s="13">
        <f>G74</f>
        <v>0</v>
      </c>
      <c r="F74" s="13">
        <v>2.1939656434244125E-2</v>
      </c>
      <c r="G74" s="26">
        <f>(0.08/100)*$D$86</f>
        <v>0</v>
      </c>
      <c r="H74" s="13">
        <v>2</v>
      </c>
      <c r="I74" s="40"/>
      <c r="J74" s="21"/>
      <c r="K74" s="21"/>
      <c r="L74" s="21"/>
    </row>
    <row r="75" spans="2:15" x14ac:dyDescent="0.3">
      <c r="B75" s="39"/>
      <c r="C75" s="21"/>
      <c r="D75" s="21"/>
      <c r="E75" s="21"/>
      <c r="F75" s="21"/>
      <c r="G75" s="21"/>
      <c r="H75" s="21"/>
      <c r="I75" s="40"/>
      <c r="J75" s="21"/>
      <c r="K75" s="21"/>
      <c r="L75" s="21"/>
    </row>
    <row r="76" spans="2:15" x14ac:dyDescent="0.3">
      <c r="B76" s="387" t="s">
        <v>327</v>
      </c>
      <c r="C76" s="388"/>
      <c r="D76" s="388"/>
      <c r="E76" s="388"/>
      <c r="F76" s="388"/>
      <c r="G76" s="388"/>
      <c r="H76" s="388"/>
      <c r="I76" s="389"/>
      <c r="J76" s="38"/>
      <c r="L76" s="21"/>
    </row>
    <row r="77" spans="2:15" ht="28.8" x14ac:dyDescent="0.3">
      <c r="B77" s="385" t="s">
        <v>266</v>
      </c>
      <c r="C77" s="386"/>
      <c r="D77" s="37" t="s">
        <v>338</v>
      </c>
      <c r="E77" s="37" t="s">
        <v>339</v>
      </c>
      <c r="F77" s="37" t="s">
        <v>340</v>
      </c>
      <c r="G77" s="37" t="s">
        <v>341</v>
      </c>
      <c r="H77" s="37" t="s">
        <v>342</v>
      </c>
      <c r="I77" s="53" t="s">
        <v>268</v>
      </c>
      <c r="J77" s="21"/>
      <c r="L77" s="21"/>
      <c r="O77" s="21"/>
    </row>
    <row r="78" spans="2:15" x14ac:dyDescent="0.3">
      <c r="B78" s="377" t="s">
        <v>332</v>
      </c>
      <c r="C78" s="378"/>
      <c r="D78" s="13">
        <f t="shared" ref="D78:D83" si="16">D69/SQRT(12)</f>
        <v>1.1547005383792517E-4</v>
      </c>
      <c r="E78" s="13">
        <f>E69/SQRT(3)</f>
        <v>0</v>
      </c>
      <c r="F78" s="13">
        <f t="shared" ref="F78:F83" si="17">F69</f>
        <v>1.20499518150945E-3</v>
      </c>
      <c r="G78" s="13">
        <f t="shared" ref="G78:G83" si="18">G69/H69</f>
        <v>0</v>
      </c>
      <c r="H78" s="65">
        <f>SQRT(SUMSQ(D78:G78))</f>
        <v>1.2105150642574944E-3</v>
      </c>
      <c r="I78" s="51">
        <f>(H78^4)/(((D78^4)/200)+((E78^4)/50)+((F78^4)/11)+((G78^4)/200))</f>
        <v>11.202893916226458</v>
      </c>
      <c r="J78" s="21"/>
      <c r="L78" s="21"/>
      <c r="O78" s="21"/>
    </row>
    <row r="79" spans="2:15" x14ac:dyDescent="0.3">
      <c r="B79" s="382" t="s">
        <v>343</v>
      </c>
      <c r="C79" s="374"/>
      <c r="D79" s="13">
        <f t="shared" si="16"/>
        <v>2.886751345948129E-4</v>
      </c>
      <c r="E79" s="13">
        <f t="shared" ref="E79:E83" si="19">E70/SQRT(3)</f>
        <v>0</v>
      </c>
      <c r="F79" s="13">
        <f t="shared" si="17"/>
        <v>7.3385147885770101E-3</v>
      </c>
      <c r="G79" s="13">
        <f t="shared" si="18"/>
        <v>0</v>
      </c>
      <c r="H79" s="13">
        <f>SQRT(SUMSQ(D79:G79))</f>
        <v>7.3441904002753645E-3</v>
      </c>
      <c r="I79" s="51">
        <f>(H79^4)/(((D79^4)/200)+((E79^4)/50)+((F79^4)/9)+((G79^4)/200))</f>
        <v>9.0278737653142791</v>
      </c>
      <c r="J79" s="21"/>
      <c r="K79" s="21"/>
      <c r="L79" s="21"/>
      <c r="O79" s="21"/>
    </row>
    <row r="80" spans="2:15" x14ac:dyDescent="0.3">
      <c r="B80" s="382" t="s">
        <v>344</v>
      </c>
      <c r="C80" s="374"/>
      <c r="D80" s="13">
        <f t="shared" si="16"/>
        <v>2.886751345948129E-4</v>
      </c>
      <c r="E80" s="13">
        <f t="shared" si="19"/>
        <v>0</v>
      </c>
      <c r="F80" s="13">
        <f t="shared" si="17"/>
        <v>2.3402927664066191E-2</v>
      </c>
      <c r="G80" s="13">
        <f t="shared" si="18"/>
        <v>0</v>
      </c>
      <c r="H80" s="13">
        <f t="shared" ref="H80:H81" si="20">SQRT(SUMSQ(D80:G80))</f>
        <v>2.3404708000375651E-2</v>
      </c>
      <c r="I80" s="51">
        <f>(H80^4)/(((D80^4)/200)+((E80^4)/50)+((F80^4)/8)+((G80^4)/200))</f>
        <v>8.0024346137607747</v>
      </c>
      <c r="J80" s="21"/>
      <c r="K80" s="21"/>
      <c r="L80" s="21"/>
      <c r="O80" s="21"/>
    </row>
    <row r="81" spans="2:15" x14ac:dyDescent="0.3">
      <c r="B81" s="382" t="s">
        <v>345</v>
      </c>
      <c r="C81" s="374"/>
      <c r="D81" s="13">
        <f t="shared" si="16"/>
        <v>2.886751345948129E-4</v>
      </c>
      <c r="E81" s="13">
        <f t="shared" si="19"/>
        <v>0</v>
      </c>
      <c r="F81" s="13">
        <f t="shared" si="17"/>
        <v>2.4671976476917736E-2</v>
      </c>
      <c r="G81" s="13">
        <f t="shared" si="18"/>
        <v>0</v>
      </c>
      <c r="H81" s="13">
        <f t="shared" si="20"/>
        <v>2.4673665244768876E-2</v>
      </c>
      <c r="I81" s="51">
        <f>(H81^4)/(((D81^4)/200)+((E81^4)/50)+((F81^4)/9)+((G81^4)/200))</f>
        <v>9.0024644031961429</v>
      </c>
      <c r="J81" s="21"/>
      <c r="K81" s="21"/>
      <c r="L81" s="21"/>
      <c r="O81" s="21"/>
    </row>
    <row r="82" spans="2:15" x14ac:dyDescent="0.3">
      <c r="B82" s="382" t="s">
        <v>346</v>
      </c>
      <c r="C82" s="374"/>
      <c r="D82" s="13">
        <f t="shared" si="16"/>
        <v>2.886751345948129E-4</v>
      </c>
      <c r="E82" s="13">
        <f t="shared" si="19"/>
        <v>0</v>
      </c>
      <c r="F82" s="13">
        <f t="shared" si="17"/>
        <v>2.231251198397971E-2</v>
      </c>
      <c r="G82" s="65">
        <f t="shared" si="18"/>
        <v>0</v>
      </c>
      <c r="H82" s="13">
        <f>SQRT(SUMSQ(D82:G82))</f>
        <v>2.2314379318470221E-2</v>
      </c>
      <c r="I82" s="51">
        <f>(H82^4)/(((D82^4)/200)+((E82^4)/50)+((F82^4)/9)+((G82^4)/200))</f>
        <v>9.0030132074718487</v>
      </c>
      <c r="J82" s="21"/>
      <c r="K82" s="21"/>
      <c r="L82" s="21"/>
      <c r="O82" s="21"/>
    </row>
    <row r="83" spans="2:15" x14ac:dyDescent="0.3">
      <c r="B83" s="382" t="s">
        <v>347</v>
      </c>
      <c r="C83" s="374"/>
      <c r="D83" s="13">
        <f t="shared" si="16"/>
        <v>1.1547005383792516E-3</v>
      </c>
      <c r="E83" s="13">
        <f t="shared" si="19"/>
        <v>0</v>
      </c>
      <c r="F83" s="13">
        <f t="shared" si="17"/>
        <v>2.1939656434244125E-2</v>
      </c>
      <c r="G83" s="13">
        <f t="shared" si="18"/>
        <v>0</v>
      </c>
      <c r="H83" s="65">
        <f>SQRT(SUMSQ(D83:G83))</f>
        <v>2.1970021797576875E-2</v>
      </c>
      <c r="I83" s="51">
        <f>(H83^4)/(((D83^4)/200)+((E83^4)/50)+((F83^4)/9)+((G83^4)/200))</f>
        <v>9.0499258533723701</v>
      </c>
      <c r="J83" s="21"/>
      <c r="K83" s="21"/>
      <c r="L83" s="21"/>
      <c r="O83" s="21"/>
    </row>
    <row r="84" spans="2:15" x14ac:dyDescent="0.3">
      <c r="B84" s="39"/>
      <c r="C84" s="21"/>
      <c r="D84" s="21"/>
      <c r="E84" s="21"/>
      <c r="F84" s="21"/>
      <c r="G84" s="21"/>
      <c r="H84" s="21"/>
      <c r="I84" s="40"/>
      <c r="J84" s="21"/>
      <c r="K84" s="21"/>
      <c r="L84" s="21"/>
    </row>
    <row r="85" spans="2:15" ht="28.8" x14ac:dyDescent="0.3">
      <c r="B85" s="58" t="s">
        <v>348</v>
      </c>
      <c r="C85" s="37" t="s">
        <v>349</v>
      </c>
      <c r="D85" s="37" t="s">
        <v>350</v>
      </c>
      <c r="E85" s="21"/>
      <c r="F85" s="21"/>
      <c r="G85" s="21"/>
      <c r="H85" s="21"/>
      <c r="I85" s="40"/>
      <c r="J85" s="21"/>
      <c r="K85" s="21"/>
      <c r="L85" s="21"/>
    </row>
    <row r="86" spans="2:15" x14ac:dyDescent="0.3">
      <c r="B86" s="50" t="e">
        <f>C86/C96</f>
        <v>#DIV/0!</v>
      </c>
      <c r="C86" s="13">
        <f>C5</f>
        <v>0</v>
      </c>
      <c r="D86" s="13">
        <f>+C86*(4.448222/1000)</f>
        <v>0</v>
      </c>
      <c r="E86" s="21"/>
      <c r="F86" s="21"/>
      <c r="G86" s="21"/>
      <c r="H86" s="21"/>
      <c r="I86" s="40"/>
      <c r="J86" s="21"/>
      <c r="K86" s="21"/>
      <c r="L86" s="21"/>
    </row>
    <row r="87" spans="2:15" x14ac:dyDescent="0.3">
      <c r="B87" s="39"/>
      <c r="C87" s="21"/>
      <c r="D87" s="21"/>
      <c r="E87" s="21"/>
      <c r="F87" s="21"/>
      <c r="G87" s="21"/>
      <c r="H87" s="21"/>
      <c r="I87" s="40"/>
      <c r="J87" s="21"/>
      <c r="K87" s="21"/>
      <c r="L87" s="21"/>
    </row>
    <row r="88" spans="2:15" ht="28.8" x14ac:dyDescent="0.3">
      <c r="B88" s="58" t="s">
        <v>351</v>
      </c>
      <c r="C88" s="15" t="s">
        <v>352</v>
      </c>
      <c r="D88" s="37" t="s">
        <v>268</v>
      </c>
      <c r="E88" s="37" t="s">
        <v>300</v>
      </c>
      <c r="F88" s="21"/>
      <c r="G88" s="21"/>
      <c r="H88" s="21"/>
      <c r="I88" s="40"/>
      <c r="J88" s="21"/>
      <c r="K88" s="21"/>
      <c r="L88" s="21"/>
    </row>
    <row r="89" spans="2:15" x14ac:dyDescent="0.3">
      <c r="B89" s="50">
        <f>IF(G3="VST 1 - 0,5T",$H$78,IF(G3="VST 1 - 1T",$H$79,IF(G3="VST 1 - 2T",$H$80,IF(G3="VST 2 - 1T",$H$81,IF(G3="VST 2 - 2T",$H$82,IF(G3="VST 2 - 5T",$H$83,"ERROR"))))))</f>
        <v>2.4673665244768876E-2</v>
      </c>
      <c r="C89" s="13">
        <f>B89/(4.448222/1000)</f>
        <v>5.5468601263086414</v>
      </c>
      <c r="D89" s="13">
        <f>IF(G3="VST 1 - 0,5T",$I$78,IF(G3="VST 1 - 1T",$I$79,IF(G3="VST 1 - 2T",$I$80,IF(G3="VST 2 - 1T",$I$81,IF(G3="VST 2 - 2T",$I$82,IF(G3="VST 2 - 5T",$I$83,"ERROR"))))))</f>
        <v>9.0024644031961429</v>
      </c>
      <c r="E89" s="13" t="e">
        <f>1/B96</f>
        <v>#DIV/0!</v>
      </c>
      <c r="G89" s="21"/>
      <c r="H89" s="21"/>
      <c r="I89" s="40"/>
      <c r="J89" s="21"/>
      <c r="K89" s="21"/>
      <c r="L89" s="21"/>
    </row>
    <row r="90" spans="2:15" x14ac:dyDescent="0.3">
      <c r="B90" s="39"/>
      <c r="C90" s="21"/>
      <c r="D90" s="21"/>
      <c r="E90" s="21"/>
      <c r="F90" s="21"/>
      <c r="G90" s="66"/>
      <c r="H90" s="21"/>
      <c r="I90" s="40"/>
      <c r="J90" s="21"/>
      <c r="K90" s="21"/>
      <c r="L90" s="21"/>
    </row>
    <row r="91" spans="2:15" ht="28.8" x14ac:dyDescent="0.3">
      <c r="B91" s="58" t="s">
        <v>353</v>
      </c>
      <c r="C91" s="37" t="s">
        <v>354</v>
      </c>
      <c r="D91" s="37" t="s">
        <v>268</v>
      </c>
      <c r="E91" s="37" t="s">
        <v>300</v>
      </c>
      <c r="F91" s="21"/>
      <c r="G91" s="21"/>
      <c r="H91" s="21"/>
      <c r="I91" s="40"/>
      <c r="J91" s="21"/>
      <c r="K91" s="21"/>
      <c r="L91" s="21"/>
    </row>
    <row r="92" spans="2:15" ht="15" thickBot="1" x14ac:dyDescent="0.35">
      <c r="B92" s="59" t="e">
        <f>SQRT(SUMSQ(B89*E89,D96*F96))</f>
        <v>#DIV/0!</v>
      </c>
      <c r="C92" s="61" t="e">
        <f>B92/6.894757</f>
        <v>#DIV/0!</v>
      </c>
      <c r="D92" s="67" t="e">
        <f>(B92^4)/((((B89*E89)^4)/D89)+(((D96*F96)^4)/E96))</f>
        <v>#DIV/0!</v>
      </c>
      <c r="E92" s="61">
        <v>1</v>
      </c>
      <c r="F92" s="43"/>
      <c r="G92" s="43"/>
      <c r="H92" s="43"/>
      <c r="I92" s="44"/>
      <c r="J92" s="21"/>
      <c r="K92" s="21"/>
      <c r="L92" s="21"/>
    </row>
    <row r="93" spans="2:15" ht="15" thickBot="1" x14ac:dyDescent="0.35">
      <c r="B93" s="21"/>
      <c r="C93" s="21"/>
      <c r="D93" s="21"/>
      <c r="E93" s="21"/>
      <c r="F93" s="21"/>
      <c r="G93" s="21"/>
      <c r="H93" s="21"/>
      <c r="I93" s="21"/>
      <c r="J93" s="21"/>
      <c r="K93" s="21"/>
      <c r="L93" s="21"/>
    </row>
    <row r="94" spans="2:15" x14ac:dyDescent="0.3">
      <c r="B94" s="379" t="s">
        <v>355</v>
      </c>
      <c r="C94" s="380"/>
      <c r="D94" s="380"/>
      <c r="E94" s="380"/>
      <c r="F94" s="381"/>
      <c r="G94" s="21"/>
      <c r="H94" s="21"/>
      <c r="I94" s="21"/>
      <c r="J94" s="21"/>
      <c r="K94" s="21"/>
      <c r="L94" s="21"/>
    </row>
    <row r="95" spans="2:15" ht="28.8" x14ac:dyDescent="0.3">
      <c r="B95" s="58" t="s">
        <v>356</v>
      </c>
      <c r="C95" s="41" t="s">
        <v>357</v>
      </c>
      <c r="D95" s="37" t="s">
        <v>358</v>
      </c>
      <c r="E95" s="37" t="s">
        <v>268</v>
      </c>
      <c r="F95" s="53" t="s">
        <v>300</v>
      </c>
      <c r="G95" s="21"/>
      <c r="H95" s="21"/>
      <c r="I95" s="21"/>
      <c r="J95" s="21"/>
      <c r="K95" s="21"/>
      <c r="L95" s="21"/>
      <c r="M95" s="21"/>
    </row>
    <row r="96" spans="2:15" ht="15" thickBot="1" x14ac:dyDescent="0.35">
      <c r="B96" s="59">
        <f>(PI()*(B110^2))/4</f>
        <v>0</v>
      </c>
      <c r="C96" s="68">
        <f>CONVERT(B96,"m^2","in^2")</f>
        <v>0</v>
      </c>
      <c r="D96" s="61">
        <f>SQRT((C110*E110)^2)</f>
        <v>0</v>
      </c>
      <c r="E96" s="61" t="e">
        <f>(D96^4)/(((C110*E110)^4/D110))</f>
        <v>#DIV/0!</v>
      </c>
      <c r="F96" s="69" t="e">
        <f>-D86/(B96^2)</f>
        <v>#DIV/0!</v>
      </c>
      <c r="G96" s="21"/>
      <c r="H96" s="21"/>
      <c r="I96" s="21"/>
      <c r="J96" s="21"/>
      <c r="K96" s="21"/>
      <c r="L96" s="21"/>
      <c r="M96" s="21"/>
    </row>
    <row r="97" spans="2:18" ht="15" thickBot="1" x14ac:dyDescent="0.35">
      <c r="B97" s="21"/>
      <c r="C97" s="21"/>
      <c r="D97" s="21"/>
      <c r="E97" s="21"/>
      <c r="F97" s="21"/>
      <c r="G97" s="21"/>
      <c r="H97" s="21"/>
      <c r="I97" s="21"/>
      <c r="J97" s="21"/>
      <c r="K97" s="21"/>
      <c r="L97" s="21"/>
    </row>
    <row r="98" spans="2:18" ht="43.2" x14ac:dyDescent="0.3">
      <c r="B98" s="383" t="s">
        <v>359</v>
      </c>
      <c r="C98" s="384"/>
      <c r="D98" s="47" t="s">
        <v>360</v>
      </c>
      <c r="E98" s="47" t="s">
        <v>361</v>
      </c>
      <c r="F98" s="48" t="s">
        <v>286</v>
      </c>
      <c r="G98" s="47" t="s">
        <v>362</v>
      </c>
      <c r="H98" s="47" t="s">
        <v>363</v>
      </c>
      <c r="I98" s="48" t="s">
        <v>307</v>
      </c>
      <c r="J98" s="35"/>
      <c r="K98" s="35"/>
      <c r="L98" s="36"/>
    </row>
    <row r="99" spans="2:18" x14ac:dyDescent="0.3">
      <c r="B99" s="382" t="s">
        <v>364</v>
      </c>
      <c r="C99" s="374"/>
      <c r="D99" s="13">
        <v>0.01</v>
      </c>
      <c r="E99" s="13">
        <v>1.0999999999999999E-2</v>
      </c>
      <c r="F99" s="55">
        <v>0.02</v>
      </c>
      <c r="G99" s="13">
        <f>STDEV(D18:D23)</f>
        <v>0</v>
      </c>
      <c r="H99" s="13">
        <v>1.0999999999999999E-2</v>
      </c>
      <c r="I99" s="13">
        <v>2</v>
      </c>
      <c r="J99" s="21"/>
      <c r="K99" s="21"/>
      <c r="L99" s="40"/>
    </row>
    <row r="100" spans="2:18" x14ac:dyDescent="0.3">
      <c r="B100" s="382" t="s">
        <v>365</v>
      </c>
      <c r="C100" s="374"/>
      <c r="D100" s="13">
        <v>0.01</v>
      </c>
      <c r="E100" s="13">
        <v>1.0999999999999999E-2</v>
      </c>
      <c r="F100" s="55">
        <v>0.02</v>
      </c>
      <c r="G100" s="13">
        <f>STDEV(F18:F23)</f>
        <v>0</v>
      </c>
      <c r="H100" s="13">
        <v>1.0999999999999999E-2</v>
      </c>
      <c r="I100" s="13">
        <v>2</v>
      </c>
      <c r="J100" s="21"/>
      <c r="K100" s="21"/>
      <c r="L100" s="40"/>
    </row>
    <row r="101" spans="2:18" x14ac:dyDescent="0.3">
      <c r="B101" s="382" t="s">
        <v>207</v>
      </c>
      <c r="C101" s="374"/>
      <c r="D101" s="13">
        <v>0.1</v>
      </c>
      <c r="E101" s="13">
        <v>0.46</v>
      </c>
      <c r="F101" s="13">
        <v>0.76</v>
      </c>
      <c r="G101" s="13">
        <f>STDEV(H18:H23)</f>
        <v>0</v>
      </c>
      <c r="H101" s="13">
        <v>0.46</v>
      </c>
      <c r="I101" s="13">
        <v>2</v>
      </c>
      <c r="J101" s="21"/>
      <c r="K101" s="21"/>
      <c r="L101" s="40"/>
    </row>
    <row r="102" spans="2:18" x14ac:dyDescent="0.3">
      <c r="B102" s="39"/>
      <c r="C102" s="21"/>
      <c r="D102" s="21"/>
      <c r="E102" s="21"/>
      <c r="F102" s="21"/>
      <c r="G102" s="21"/>
      <c r="H102" s="21"/>
      <c r="I102" s="21"/>
      <c r="J102" s="21"/>
      <c r="K102" s="21"/>
      <c r="L102" s="40"/>
    </row>
    <row r="103" spans="2:18" ht="28.8" x14ac:dyDescent="0.3">
      <c r="B103" s="385" t="s">
        <v>366</v>
      </c>
      <c r="C103" s="386"/>
      <c r="D103" s="15" t="s">
        <v>315</v>
      </c>
      <c r="E103" s="15" t="s">
        <v>316</v>
      </c>
      <c r="F103" s="15" t="s">
        <v>367</v>
      </c>
      <c r="G103" s="15" t="s">
        <v>368</v>
      </c>
      <c r="H103" s="15" t="s">
        <v>318</v>
      </c>
      <c r="I103" s="15" t="s">
        <v>369</v>
      </c>
      <c r="J103" s="37" t="s">
        <v>370</v>
      </c>
      <c r="K103" s="37" t="s">
        <v>267</v>
      </c>
      <c r="L103" s="53" t="s">
        <v>268</v>
      </c>
      <c r="O103" s="15" t="s">
        <v>371</v>
      </c>
      <c r="P103" s="15" t="s">
        <v>372</v>
      </c>
      <c r="Q103" s="15" t="s">
        <v>373</v>
      </c>
      <c r="R103" s="15" t="s">
        <v>374</v>
      </c>
    </row>
    <row r="104" spans="2:18" x14ac:dyDescent="0.3">
      <c r="B104" s="382" t="s">
        <v>364</v>
      </c>
      <c r="C104" s="374"/>
      <c r="D104" s="13">
        <f>D99/SQRT(12)</f>
        <v>2.886751345948129E-3</v>
      </c>
      <c r="E104" s="13">
        <f>E99/SQRT(3)</f>
        <v>6.3508529610858833E-3</v>
      </c>
      <c r="F104" s="13">
        <f>F99</f>
        <v>0.02</v>
      </c>
      <c r="G104" s="13">
        <f>G99/SQRT(COUNT($B$18:$B$23))</f>
        <v>0</v>
      </c>
      <c r="H104" s="13">
        <f>H99/I99</f>
        <v>5.4999999999999997E-3</v>
      </c>
      <c r="I104" s="13">
        <f>SQRT(SUMSQ(D104:H104))</f>
        <v>2.1884164746836163E-2</v>
      </c>
      <c r="J104" s="70">
        <f>I104/1000</f>
        <v>2.1884164746836164E-5</v>
      </c>
      <c r="K104" s="13">
        <f>(1+($P$112*($H$24-$I$24)))/2</f>
        <v>0.49986399999999998</v>
      </c>
      <c r="L104" s="51">
        <f>(I104^4)/(((D104^4)/200)+((E104^4)/50)+((F104^4)/200)+((G104^4)/5)+((H104^4)/200))</f>
        <v>273.87779313832169</v>
      </c>
      <c r="O104" s="16" t="s">
        <v>375</v>
      </c>
      <c r="P104" s="34">
        <v>11.35</v>
      </c>
      <c r="Q104" s="34">
        <f>+P104/1000000</f>
        <v>1.135E-5</v>
      </c>
      <c r="R104" s="34">
        <v>6.31</v>
      </c>
    </row>
    <row r="105" spans="2:18" x14ac:dyDescent="0.3">
      <c r="B105" s="382" t="s">
        <v>365</v>
      </c>
      <c r="C105" s="374"/>
      <c r="D105" s="13">
        <f>D100/SQRT(12)</f>
        <v>2.886751345948129E-3</v>
      </c>
      <c r="E105" s="13">
        <f>E100/SQRT(3)</f>
        <v>6.3508529610858833E-3</v>
      </c>
      <c r="F105" s="13">
        <f>F100</f>
        <v>0.02</v>
      </c>
      <c r="G105" s="13">
        <f>G100/SQRT(COUNT($B$18:$B$23))</f>
        <v>0</v>
      </c>
      <c r="H105" s="13">
        <f>H100/I100</f>
        <v>5.4999999999999997E-3</v>
      </c>
      <c r="I105" s="13">
        <f t="shared" ref="I105" si="21">SQRT(SUMSQ(D105:H105))</f>
        <v>2.1884164746836163E-2</v>
      </c>
      <c r="J105" s="70">
        <f>I105/1000</f>
        <v>2.1884164746836164E-5</v>
      </c>
      <c r="K105" s="13">
        <f>(1+($P$112*($H$24-$I$24)))/2</f>
        <v>0.49986399999999998</v>
      </c>
      <c r="L105" s="51">
        <f>(I105^4)/(((D105^4)/200)+((E105^4)/50)+((F105^4)/200)+((G105^4)/5)+((H105^4)/200))</f>
        <v>273.87779313832169</v>
      </c>
      <c r="O105" s="16" t="s">
        <v>376</v>
      </c>
      <c r="P105" s="34">
        <v>12.95</v>
      </c>
      <c r="Q105" s="34">
        <f t="shared" ref="Q105:Q110" si="22">+P105/1000000</f>
        <v>1.295E-5</v>
      </c>
      <c r="R105" s="34">
        <v>7.2</v>
      </c>
    </row>
    <row r="106" spans="2:18" x14ac:dyDescent="0.3">
      <c r="B106" s="382" t="s">
        <v>377</v>
      </c>
      <c r="C106" s="374"/>
      <c r="D106" s="13" t="s">
        <v>209</v>
      </c>
      <c r="E106" s="18" t="s">
        <v>209</v>
      </c>
      <c r="F106" s="18" t="s">
        <v>209</v>
      </c>
      <c r="G106" s="18" t="s">
        <v>209</v>
      </c>
      <c r="H106" s="18" t="s">
        <v>209</v>
      </c>
      <c r="I106" s="13" t="s">
        <v>209</v>
      </c>
      <c r="J106" s="70">
        <f>(Q110-Q104)/SQRT(12)</f>
        <v>9.6706170089262323E-7</v>
      </c>
      <c r="K106" s="13">
        <f>((E24+G24)/2)*(H24-I24)</f>
        <v>0</v>
      </c>
      <c r="L106" s="51">
        <v>200</v>
      </c>
      <c r="O106" s="16" t="s">
        <v>378</v>
      </c>
      <c r="P106" s="34">
        <v>13.6</v>
      </c>
      <c r="Q106" s="34">
        <f t="shared" si="22"/>
        <v>1.36E-5</v>
      </c>
      <c r="R106" s="34">
        <v>7.56</v>
      </c>
    </row>
    <row r="107" spans="2:18" x14ac:dyDescent="0.3">
      <c r="B107" s="382" t="s">
        <v>207</v>
      </c>
      <c r="C107" s="374"/>
      <c r="D107" s="13">
        <f>D101/SQRT(12)</f>
        <v>2.8867513459481291E-2</v>
      </c>
      <c r="E107" s="13">
        <f>E101/SQRT(3)</f>
        <v>0.26558112382722787</v>
      </c>
      <c r="F107" s="13">
        <f>F101</f>
        <v>0.76</v>
      </c>
      <c r="G107" s="13">
        <f>G101/SQRT(COUNT($B$18:$B$23))</f>
        <v>0</v>
      </c>
      <c r="H107" s="13">
        <f>H101/I101</f>
        <v>0.23</v>
      </c>
      <c r="I107" s="14" t="s">
        <v>209</v>
      </c>
      <c r="J107" s="65">
        <f>SQRT(SUMSQ(D107:H107))</f>
        <v>0.83777483052826707</v>
      </c>
      <c r="K107" s="13">
        <f>((E24+G24)/2)*$P$112</f>
        <v>0</v>
      </c>
      <c r="L107" s="51">
        <f>(J107^4)/(((D107^4)/200)+((E107^4)/50)+((F107^4)/200)+((G107^4)/5)+((H107^4)/200))</f>
        <v>276.50196061536349</v>
      </c>
      <c r="O107" s="16" t="s">
        <v>379</v>
      </c>
      <c r="P107" s="34">
        <v>13.9</v>
      </c>
      <c r="Q107" s="34">
        <f t="shared" si="22"/>
        <v>1.3900000000000001E-5</v>
      </c>
      <c r="R107" s="34">
        <v>7.72</v>
      </c>
    </row>
    <row r="108" spans="2:18" x14ac:dyDescent="0.3">
      <c r="B108" s="39"/>
      <c r="C108" s="21"/>
      <c r="D108" s="21"/>
      <c r="E108" s="21"/>
      <c r="F108" s="21"/>
      <c r="G108" s="21"/>
      <c r="H108" s="21"/>
      <c r="I108" s="21"/>
      <c r="J108" s="21"/>
      <c r="K108" s="21"/>
      <c r="L108" s="40"/>
      <c r="O108" s="16" t="s">
        <v>380</v>
      </c>
      <c r="P108" s="34">
        <v>14.2</v>
      </c>
      <c r="Q108" s="34">
        <f t="shared" si="22"/>
        <v>1.42E-5</v>
      </c>
      <c r="R108" s="34">
        <v>7.89</v>
      </c>
    </row>
    <row r="109" spans="2:18" ht="28.8" x14ac:dyDescent="0.3">
      <c r="B109" s="58" t="s">
        <v>381</v>
      </c>
      <c r="C109" s="37" t="s">
        <v>382</v>
      </c>
      <c r="D109" s="37" t="s">
        <v>268</v>
      </c>
      <c r="E109" s="37" t="s">
        <v>267</v>
      </c>
      <c r="F109" s="21"/>
      <c r="G109" s="21"/>
      <c r="H109" s="21"/>
      <c r="I109" s="21"/>
      <c r="J109" s="21"/>
      <c r="K109" s="21"/>
      <c r="L109" s="40"/>
      <c r="O109" s="16" t="s">
        <v>383</v>
      </c>
      <c r="P109" s="34">
        <v>14.5</v>
      </c>
      <c r="Q109" s="34">
        <f t="shared" si="22"/>
        <v>1.45E-5</v>
      </c>
      <c r="R109" s="34">
        <v>8.06</v>
      </c>
    </row>
    <row r="110" spans="2:18" ht="15" thickBot="1" x14ac:dyDescent="0.35">
      <c r="B110" s="59">
        <f>((E24+G24)/2)*(1+(P112*(H24-I24)))</f>
        <v>0</v>
      </c>
      <c r="C110" s="71">
        <f>SQRT(SUMSQ(J104*K104,J105*K105,J106*K106,J107*K107))</f>
        <v>1.5470232245059717E-5</v>
      </c>
      <c r="D110" s="61">
        <f>(C110^4)/((((J104*K104)^4)/L104)+(((J105*K105)^4)/L105)+(((J106*K106)^4)/L106)+(((J107*K107)^4)/L107))</f>
        <v>547.75558627664361</v>
      </c>
      <c r="E110" s="61">
        <f>(PI()*B110)/2</f>
        <v>0</v>
      </c>
      <c r="F110" s="43"/>
      <c r="G110" s="43"/>
      <c r="H110" s="43"/>
      <c r="I110" s="43"/>
      <c r="J110" s="43"/>
      <c r="K110" s="43"/>
      <c r="L110" s="44"/>
      <c r="O110" s="16" t="s">
        <v>384</v>
      </c>
      <c r="P110" s="34">
        <v>14.7</v>
      </c>
      <c r="Q110" s="34">
        <f t="shared" si="22"/>
        <v>1.47E-5</v>
      </c>
      <c r="R110" s="34">
        <v>8.17</v>
      </c>
    </row>
    <row r="111" spans="2:18" x14ac:dyDescent="0.3">
      <c r="B111" s="21"/>
      <c r="C111" s="21"/>
      <c r="D111" s="21"/>
      <c r="E111" s="21"/>
      <c r="F111" s="21"/>
      <c r="G111" s="21"/>
      <c r="H111" s="21"/>
      <c r="I111" s="21"/>
      <c r="J111" s="21"/>
      <c r="K111" s="21"/>
      <c r="L111" s="21"/>
      <c r="O111" s="32"/>
      <c r="P111" s="32"/>
      <c r="Q111" s="32"/>
      <c r="R111" s="32"/>
    </row>
    <row r="112" spans="2:18" ht="28.8" x14ac:dyDescent="0.3">
      <c r="O112" s="34" t="s">
        <v>385</v>
      </c>
      <c r="P112" s="46">
        <f>AVERAGE(Q104:Q110)</f>
        <v>1.3600000000000002E-5</v>
      </c>
      <c r="Q112" s="32"/>
      <c r="R112" s="32"/>
    </row>
  </sheetData>
  <sheetProtection algorithmName="SHA-512" hashValue="TBvPqD8QeG19xmsDexSlQtDhdQVXLGzoLUy2AJbnJke77pta4LzJ/lOafPN/BD6d7qecdWJvnObjwJFRtmKcJw==" saltValue="r3FLDL6Y1NY5uAZnTJbbUA==" spinCount="100000" sheet="1" objects="1" scenarios="1"/>
  <mergeCells count="57">
    <mergeCell ref="H8:J8"/>
    <mergeCell ref="H9:J9"/>
    <mergeCell ref="J13:J14"/>
    <mergeCell ref="B10:F10"/>
    <mergeCell ref="F11:F14"/>
    <mergeCell ref="K16:L16"/>
    <mergeCell ref="K21:L21"/>
    <mergeCell ref="B29:C29"/>
    <mergeCell ref="B30:C30"/>
    <mergeCell ref="B31:C31"/>
    <mergeCell ref="B26:C26"/>
    <mergeCell ref="B27:C27"/>
    <mergeCell ref="B28:C28"/>
    <mergeCell ref="B16:I16"/>
    <mergeCell ref="B33:C33"/>
    <mergeCell ref="B34:C34"/>
    <mergeCell ref="B35:C35"/>
    <mergeCell ref="B36:C36"/>
    <mergeCell ref="B37:C37"/>
    <mergeCell ref="B38:C38"/>
    <mergeCell ref="B40:C40"/>
    <mergeCell ref="B41:C41"/>
    <mergeCell ref="B42:C42"/>
    <mergeCell ref="B43:C43"/>
    <mergeCell ref="B44:C44"/>
    <mergeCell ref="B45:C45"/>
    <mergeCell ref="B50:C50"/>
    <mergeCell ref="K50:L50"/>
    <mergeCell ref="B51:C51"/>
    <mergeCell ref="K51:L51"/>
    <mergeCell ref="K52:L52"/>
    <mergeCell ref="K53:L53"/>
    <mergeCell ref="B68:C68"/>
    <mergeCell ref="B70:C70"/>
    <mergeCell ref="B71:C71"/>
    <mergeCell ref="B69:C69"/>
    <mergeCell ref="B72:C72"/>
    <mergeCell ref="B73:C73"/>
    <mergeCell ref="B74:C74"/>
    <mergeCell ref="B76:I76"/>
    <mergeCell ref="B77:C77"/>
    <mergeCell ref="B107:C107"/>
    <mergeCell ref="B98:C98"/>
    <mergeCell ref="B99:C99"/>
    <mergeCell ref="B100:C100"/>
    <mergeCell ref="B101:C101"/>
    <mergeCell ref="B103:C103"/>
    <mergeCell ref="B78:C78"/>
    <mergeCell ref="B94:F94"/>
    <mergeCell ref="B104:C104"/>
    <mergeCell ref="B105:C105"/>
    <mergeCell ref="B106:C106"/>
    <mergeCell ref="B79:C79"/>
    <mergeCell ref="B80:C80"/>
    <mergeCell ref="B81:C81"/>
    <mergeCell ref="B82:C82"/>
    <mergeCell ref="B83:C83"/>
  </mergeCells>
  <pageMargins left="0.7" right="0.7" top="0.75" bottom="0.75" header="0.3" footer="0.3"/>
  <ignoredErrors>
    <ignoredError sqref="F18:F23 G61 I80"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017D6-72FC-4399-ABF3-E32E1BCA9BB3}">
  <dimension ref="A1:H33"/>
  <sheetViews>
    <sheetView topLeftCell="A16" workbookViewId="0">
      <selection activeCell="H4" sqref="H4"/>
    </sheetView>
  </sheetViews>
  <sheetFormatPr baseColWidth="10" defaultColWidth="11.44140625" defaultRowHeight="14.4" x14ac:dyDescent="0.3"/>
  <cols>
    <col min="1" max="4" width="21.5546875" style="1" customWidth="1"/>
    <col min="5" max="5" width="11" style="1" customWidth="1"/>
    <col min="6" max="6" width="11.44140625" style="1" customWidth="1"/>
    <col min="7" max="7" width="11.44140625" style="1"/>
    <col min="8" max="8" width="23.5546875" style="1" customWidth="1"/>
    <col min="9" max="256" width="11.44140625" style="1"/>
    <col min="257" max="260" width="21.5546875" style="1" customWidth="1"/>
    <col min="261" max="512" width="11.44140625" style="1"/>
    <col min="513" max="516" width="21.5546875" style="1" customWidth="1"/>
    <col min="517" max="768" width="11.44140625" style="1"/>
    <col min="769" max="772" width="21.5546875" style="1" customWidth="1"/>
    <col min="773" max="1024" width="11.44140625" style="1"/>
    <col min="1025" max="1028" width="21.5546875" style="1" customWidth="1"/>
    <col min="1029" max="1280" width="11.44140625" style="1"/>
    <col min="1281" max="1284" width="21.5546875" style="1" customWidth="1"/>
    <col min="1285" max="1536" width="11.44140625" style="1"/>
    <col min="1537" max="1540" width="21.5546875" style="1" customWidth="1"/>
    <col min="1541" max="1792" width="11.44140625" style="1"/>
    <col min="1793" max="1796" width="21.5546875" style="1" customWidth="1"/>
    <col min="1797" max="2048" width="11.44140625" style="1"/>
    <col min="2049" max="2052" width="21.5546875" style="1" customWidth="1"/>
    <col min="2053" max="2304" width="11.44140625" style="1"/>
    <col min="2305" max="2308" width="21.5546875" style="1" customWidth="1"/>
    <col min="2309" max="2560" width="11.44140625" style="1"/>
    <col min="2561" max="2564" width="21.5546875" style="1" customWidth="1"/>
    <col min="2565" max="2816" width="11.44140625" style="1"/>
    <col min="2817" max="2820" width="21.5546875" style="1" customWidth="1"/>
    <col min="2821" max="3072" width="11.44140625" style="1"/>
    <col min="3073" max="3076" width="21.5546875" style="1" customWidth="1"/>
    <col min="3077" max="3328" width="11.44140625" style="1"/>
    <col min="3329" max="3332" width="21.5546875" style="1" customWidth="1"/>
    <col min="3333" max="3584" width="11.44140625" style="1"/>
    <col min="3585" max="3588" width="21.5546875" style="1" customWidth="1"/>
    <col min="3589" max="3840" width="11.44140625" style="1"/>
    <col min="3841" max="3844" width="21.5546875" style="1" customWidth="1"/>
    <col min="3845" max="4096" width="11.44140625" style="1"/>
    <col min="4097" max="4100" width="21.5546875" style="1" customWidth="1"/>
    <col min="4101" max="4352" width="11.44140625" style="1"/>
    <col min="4353" max="4356" width="21.5546875" style="1" customWidth="1"/>
    <col min="4357" max="4608" width="11.44140625" style="1"/>
    <col min="4609" max="4612" width="21.5546875" style="1" customWidth="1"/>
    <col min="4613" max="4864" width="11.44140625" style="1"/>
    <col min="4865" max="4868" width="21.5546875" style="1" customWidth="1"/>
    <col min="4869" max="5120" width="11.44140625" style="1"/>
    <col min="5121" max="5124" width="21.5546875" style="1" customWidth="1"/>
    <col min="5125" max="5376" width="11.44140625" style="1"/>
    <col min="5377" max="5380" width="21.5546875" style="1" customWidth="1"/>
    <col min="5381" max="5632" width="11.44140625" style="1"/>
    <col min="5633" max="5636" width="21.5546875" style="1" customWidth="1"/>
    <col min="5637" max="5888" width="11.44140625" style="1"/>
    <col min="5889" max="5892" width="21.5546875" style="1" customWidth="1"/>
    <col min="5893" max="6144" width="11.44140625" style="1"/>
    <col min="6145" max="6148" width="21.5546875" style="1" customWidth="1"/>
    <col min="6149" max="6400" width="11.44140625" style="1"/>
    <col min="6401" max="6404" width="21.5546875" style="1" customWidth="1"/>
    <col min="6405" max="6656" width="11.44140625" style="1"/>
    <col min="6657" max="6660" width="21.5546875" style="1" customWidth="1"/>
    <col min="6661" max="6912" width="11.44140625" style="1"/>
    <col min="6913" max="6916" width="21.5546875" style="1" customWidth="1"/>
    <col min="6917" max="7168" width="11.44140625" style="1"/>
    <col min="7169" max="7172" width="21.5546875" style="1" customWidth="1"/>
    <col min="7173" max="7424" width="11.44140625" style="1"/>
    <col min="7425" max="7428" width="21.5546875" style="1" customWidth="1"/>
    <col min="7429" max="7680" width="11.44140625" style="1"/>
    <col min="7681" max="7684" width="21.5546875" style="1" customWidth="1"/>
    <col min="7685" max="7936" width="11.44140625" style="1"/>
    <col min="7937" max="7940" width="21.5546875" style="1" customWidth="1"/>
    <col min="7941" max="8192" width="11.44140625" style="1"/>
    <col min="8193" max="8196" width="21.5546875" style="1" customWidth="1"/>
    <col min="8197" max="8448" width="11.44140625" style="1"/>
    <col min="8449" max="8452" width="21.5546875" style="1" customWidth="1"/>
    <col min="8453" max="8704" width="11.44140625" style="1"/>
    <col min="8705" max="8708" width="21.5546875" style="1" customWidth="1"/>
    <col min="8709" max="8960" width="11.44140625" style="1"/>
    <col min="8961" max="8964" width="21.5546875" style="1" customWidth="1"/>
    <col min="8965" max="9216" width="11.44140625" style="1"/>
    <col min="9217" max="9220" width="21.5546875" style="1" customWidth="1"/>
    <col min="9221" max="9472" width="11.44140625" style="1"/>
    <col min="9473" max="9476" width="21.5546875" style="1" customWidth="1"/>
    <col min="9477" max="9728" width="11.44140625" style="1"/>
    <col min="9729" max="9732" width="21.5546875" style="1" customWidth="1"/>
    <col min="9733" max="9984" width="11.44140625" style="1"/>
    <col min="9985" max="9988" width="21.5546875" style="1" customWidth="1"/>
    <col min="9989" max="10240" width="11.44140625" style="1"/>
    <col min="10241" max="10244" width="21.5546875" style="1" customWidth="1"/>
    <col min="10245" max="10496" width="11.44140625" style="1"/>
    <col min="10497" max="10500" width="21.5546875" style="1" customWidth="1"/>
    <col min="10501" max="10752" width="11.44140625" style="1"/>
    <col min="10753" max="10756" width="21.5546875" style="1" customWidth="1"/>
    <col min="10757" max="11008" width="11.44140625" style="1"/>
    <col min="11009" max="11012" width="21.5546875" style="1" customWidth="1"/>
    <col min="11013" max="11264" width="11.44140625" style="1"/>
    <col min="11265" max="11268" width="21.5546875" style="1" customWidth="1"/>
    <col min="11269" max="11520" width="11.44140625" style="1"/>
    <col min="11521" max="11524" width="21.5546875" style="1" customWidth="1"/>
    <col min="11525" max="11776" width="11.44140625" style="1"/>
    <col min="11777" max="11780" width="21.5546875" style="1" customWidth="1"/>
    <col min="11781" max="12032" width="11.44140625" style="1"/>
    <col min="12033" max="12036" width="21.5546875" style="1" customWidth="1"/>
    <col min="12037" max="12288" width="11.44140625" style="1"/>
    <col min="12289" max="12292" width="21.5546875" style="1" customWidth="1"/>
    <col min="12293" max="12544" width="11.44140625" style="1"/>
    <col min="12545" max="12548" width="21.5546875" style="1" customWidth="1"/>
    <col min="12549" max="12800" width="11.44140625" style="1"/>
    <col min="12801" max="12804" width="21.5546875" style="1" customWidth="1"/>
    <col min="12805" max="13056" width="11.44140625" style="1"/>
    <col min="13057" max="13060" width="21.5546875" style="1" customWidth="1"/>
    <col min="13061" max="13312" width="11.44140625" style="1"/>
    <col min="13313" max="13316" width="21.5546875" style="1" customWidth="1"/>
    <col min="13317" max="13568" width="11.44140625" style="1"/>
    <col min="13569" max="13572" width="21.5546875" style="1" customWidth="1"/>
    <col min="13573" max="13824" width="11.44140625" style="1"/>
    <col min="13825" max="13828" width="21.5546875" style="1" customWidth="1"/>
    <col min="13829" max="14080" width="11.44140625" style="1"/>
    <col min="14081" max="14084" width="21.5546875" style="1" customWidth="1"/>
    <col min="14085" max="14336" width="11.44140625" style="1"/>
    <col min="14337" max="14340" width="21.5546875" style="1" customWidth="1"/>
    <col min="14341" max="14592" width="11.44140625" style="1"/>
    <col min="14593" max="14596" width="21.5546875" style="1" customWidth="1"/>
    <col min="14597" max="14848" width="11.44140625" style="1"/>
    <col min="14849" max="14852" width="21.5546875" style="1" customWidth="1"/>
    <col min="14853" max="15104" width="11.44140625" style="1"/>
    <col min="15105" max="15108" width="21.5546875" style="1" customWidth="1"/>
    <col min="15109" max="15360" width="11.44140625" style="1"/>
    <col min="15361" max="15364" width="21.5546875" style="1" customWidth="1"/>
    <col min="15365" max="15616" width="11.44140625" style="1"/>
    <col min="15617" max="15620" width="21.5546875" style="1" customWidth="1"/>
    <col min="15621" max="15872" width="11.44140625" style="1"/>
    <col min="15873" max="15876" width="21.5546875" style="1" customWidth="1"/>
    <col min="15877" max="16128" width="11.44140625" style="1"/>
    <col min="16129" max="16132" width="21.5546875" style="1" customWidth="1"/>
    <col min="16133" max="16384" width="11.44140625" style="1"/>
  </cols>
  <sheetData>
    <row r="1" spans="1:8" ht="25.5" customHeight="1" x14ac:dyDescent="0.3">
      <c r="A1" s="405"/>
      <c r="B1" s="405"/>
      <c r="C1" s="406" t="s">
        <v>386</v>
      </c>
      <c r="D1" s="406"/>
      <c r="E1" s="406"/>
      <c r="F1" s="406"/>
      <c r="G1" s="406"/>
      <c r="H1" s="406"/>
    </row>
    <row r="2" spans="1:8" ht="25.5" customHeight="1" x14ac:dyDescent="0.3">
      <c r="A2" s="405"/>
      <c r="B2" s="405"/>
      <c r="C2" s="406"/>
      <c r="D2" s="406"/>
      <c r="E2" s="406"/>
      <c r="F2" s="406"/>
      <c r="G2" s="406"/>
      <c r="H2" s="406"/>
    </row>
    <row r="3" spans="1:8" ht="24" customHeight="1" x14ac:dyDescent="0.3">
      <c r="A3" s="405"/>
      <c r="B3" s="405"/>
      <c r="C3" s="2" t="s">
        <v>1</v>
      </c>
      <c r="D3" s="3" t="s">
        <v>387</v>
      </c>
      <c r="E3" s="2" t="s">
        <v>3</v>
      </c>
      <c r="F3" s="177" t="s">
        <v>4</v>
      </c>
      <c r="G3" s="4" t="s">
        <v>5</v>
      </c>
      <c r="H3" s="5">
        <v>46008</v>
      </c>
    </row>
    <row r="4" spans="1:8" ht="19.8" x14ac:dyDescent="0.3">
      <c r="A4" s="6"/>
    </row>
    <row r="5" spans="1:8" ht="19.8" x14ac:dyDescent="0.3">
      <c r="A5" s="407" t="s">
        <v>388</v>
      </c>
      <c r="B5" s="407"/>
      <c r="C5" s="407"/>
      <c r="D5" s="407"/>
      <c r="E5" s="407"/>
      <c r="F5" s="407"/>
      <c r="G5" s="407"/>
      <c r="H5" s="407"/>
    </row>
    <row r="6" spans="1:8" ht="20.399999999999999" thickBot="1" x14ac:dyDescent="0.35">
      <c r="A6" s="7"/>
    </row>
    <row r="7" spans="1:8" ht="15.6" thickTop="1" thickBot="1" x14ac:dyDescent="0.35">
      <c r="A7" s="8" t="s">
        <v>5</v>
      </c>
      <c r="B7" s="9" t="s">
        <v>3</v>
      </c>
      <c r="C7" s="408" t="s">
        <v>389</v>
      </c>
      <c r="D7" s="409"/>
      <c r="E7" s="409"/>
      <c r="F7" s="409"/>
      <c r="G7" s="409" t="s">
        <v>390</v>
      </c>
      <c r="H7" s="409"/>
    </row>
    <row r="8" spans="1:8" ht="35.25" customHeight="1" thickTop="1" thickBot="1" x14ac:dyDescent="0.35">
      <c r="A8" s="10">
        <v>45364</v>
      </c>
      <c r="B8" s="80" t="s">
        <v>391</v>
      </c>
      <c r="C8" s="400" t="s">
        <v>392</v>
      </c>
      <c r="D8" s="401"/>
      <c r="E8" s="401"/>
      <c r="F8" s="402"/>
      <c r="G8" s="403" t="s">
        <v>393</v>
      </c>
      <c r="H8" s="404"/>
    </row>
    <row r="9" spans="1:8" ht="30" customHeight="1" thickBot="1" x14ac:dyDescent="0.35">
      <c r="A9" s="10">
        <v>45454</v>
      </c>
      <c r="B9" s="80" t="s">
        <v>394</v>
      </c>
      <c r="C9" s="400" t="s">
        <v>395</v>
      </c>
      <c r="D9" s="401"/>
      <c r="E9" s="401"/>
      <c r="F9" s="402"/>
      <c r="G9" s="403" t="s">
        <v>396</v>
      </c>
      <c r="H9" s="404"/>
    </row>
    <row r="10" spans="1:8" ht="38.1" customHeight="1" thickBot="1" x14ac:dyDescent="0.35">
      <c r="A10" s="10">
        <v>45457</v>
      </c>
      <c r="B10" s="80" t="s">
        <v>397</v>
      </c>
      <c r="C10" s="400" t="s">
        <v>398</v>
      </c>
      <c r="D10" s="401"/>
      <c r="E10" s="401"/>
      <c r="F10" s="402"/>
      <c r="G10" s="403" t="s">
        <v>399</v>
      </c>
      <c r="H10" s="404"/>
    </row>
    <row r="11" spans="1:8" ht="33" customHeight="1" thickBot="1" x14ac:dyDescent="0.35">
      <c r="A11" s="10">
        <v>45803</v>
      </c>
      <c r="B11" s="80" t="s">
        <v>400</v>
      </c>
      <c r="C11" s="400" t="s">
        <v>401</v>
      </c>
      <c r="D11" s="401"/>
      <c r="E11" s="401"/>
      <c r="F11" s="402"/>
      <c r="G11" s="403" t="s">
        <v>393</v>
      </c>
      <c r="H11" s="404"/>
    </row>
    <row r="12" spans="1:8" ht="33" customHeight="1" thickBot="1" x14ac:dyDescent="0.35">
      <c r="A12" s="10">
        <v>45856</v>
      </c>
      <c r="B12" s="80" t="s">
        <v>402</v>
      </c>
      <c r="C12" s="400" t="s">
        <v>403</v>
      </c>
      <c r="D12" s="401"/>
      <c r="E12" s="401"/>
      <c r="F12" s="402"/>
      <c r="G12" s="403" t="s">
        <v>393</v>
      </c>
      <c r="H12" s="404"/>
    </row>
    <row r="13" spans="1:8" ht="53.4" customHeight="1" thickBot="1" x14ac:dyDescent="0.35">
      <c r="A13" s="10">
        <v>45895</v>
      </c>
      <c r="B13" s="80" t="s">
        <v>404</v>
      </c>
      <c r="C13" s="400" t="s">
        <v>405</v>
      </c>
      <c r="D13" s="401"/>
      <c r="E13" s="401"/>
      <c r="F13" s="402"/>
      <c r="G13" s="403" t="s">
        <v>393</v>
      </c>
      <c r="H13" s="404"/>
    </row>
    <row r="14" spans="1:8" ht="53.4" customHeight="1" thickBot="1" x14ac:dyDescent="0.35">
      <c r="A14" s="10">
        <v>45917</v>
      </c>
      <c r="B14" s="80" t="s">
        <v>406</v>
      </c>
      <c r="C14" s="400" t="s">
        <v>407</v>
      </c>
      <c r="D14" s="401"/>
      <c r="E14" s="401"/>
      <c r="F14" s="402"/>
      <c r="G14" s="403" t="s">
        <v>393</v>
      </c>
      <c r="H14" s="404"/>
    </row>
    <row r="15" spans="1:8" ht="46.2" customHeight="1" thickBot="1" x14ac:dyDescent="0.35">
      <c r="A15" s="10">
        <v>46008</v>
      </c>
      <c r="B15" s="80" t="s">
        <v>408</v>
      </c>
      <c r="C15" s="400" t="s">
        <v>409</v>
      </c>
      <c r="D15" s="401"/>
      <c r="E15" s="401"/>
      <c r="F15" s="402"/>
      <c r="G15" s="403" t="s">
        <v>410</v>
      </c>
      <c r="H15" s="404"/>
    </row>
    <row r="16" spans="1:8" x14ac:dyDescent="0.3">
      <c r="A16" s="236"/>
      <c r="B16" s="237"/>
      <c r="C16" s="238"/>
      <c r="D16" s="238"/>
      <c r="E16" s="238"/>
      <c r="F16" s="238"/>
      <c r="G16" s="239"/>
      <c r="H16" s="239"/>
    </row>
    <row r="17" spans="1:8" x14ac:dyDescent="0.3">
      <c r="A17" s="236"/>
      <c r="B17" s="237"/>
      <c r="C17" s="238"/>
      <c r="D17" s="238"/>
      <c r="E17" s="238"/>
      <c r="F17" s="238"/>
      <c r="G17" s="239"/>
      <c r="H17" s="239"/>
    </row>
    <row r="18" spans="1:8" x14ac:dyDescent="0.3">
      <c r="A18" s="236"/>
      <c r="B18" s="237"/>
      <c r="C18" s="238"/>
      <c r="D18" s="238"/>
      <c r="E18" s="238"/>
      <c r="F18" s="238"/>
      <c r="G18" s="239"/>
      <c r="H18" s="239"/>
    </row>
    <row r="19" spans="1:8" x14ac:dyDescent="0.3">
      <c r="A19" s="236"/>
      <c r="B19" s="237"/>
      <c r="C19" s="238"/>
      <c r="D19" s="238"/>
      <c r="E19" s="238"/>
      <c r="F19" s="238"/>
      <c r="G19" s="239"/>
      <c r="H19" s="239"/>
    </row>
    <row r="20" spans="1:8" x14ac:dyDescent="0.3">
      <c r="A20" s="11"/>
    </row>
    <row r="21" spans="1:8" ht="17.25" customHeight="1" thickBot="1" x14ac:dyDescent="0.35">
      <c r="A21" s="413" t="s">
        <v>411</v>
      </c>
      <c r="B21" s="414"/>
      <c r="C21" s="414"/>
      <c r="D21" s="414"/>
      <c r="E21" s="414"/>
      <c r="F21" s="414"/>
      <c r="G21" s="414"/>
      <c r="H21" s="414"/>
    </row>
    <row r="22" spans="1:8" ht="16.5" customHeight="1" thickTop="1" thickBot="1" x14ac:dyDescent="0.35">
      <c r="A22" s="415" t="s">
        <v>412</v>
      </c>
      <c r="B22" s="416"/>
      <c r="C22" s="417" t="s">
        <v>413</v>
      </c>
      <c r="D22" s="418"/>
      <c r="E22" s="417" t="s">
        <v>414</v>
      </c>
      <c r="F22" s="418"/>
      <c r="G22" s="418"/>
      <c r="H22" s="418"/>
    </row>
    <row r="23" spans="1:8" ht="54" customHeight="1" thickTop="1" thickBot="1" x14ac:dyDescent="0.35">
      <c r="A23" s="419"/>
      <c r="B23" s="420"/>
      <c r="C23" s="421"/>
      <c r="D23" s="422"/>
      <c r="E23" s="423"/>
      <c r="F23" s="424"/>
      <c r="G23" s="424"/>
      <c r="H23" s="425"/>
    </row>
    <row r="24" spans="1:8" ht="19.5" customHeight="1" thickTop="1" thickBot="1" x14ac:dyDescent="0.35">
      <c r="A24" s="226" t="s">
        <v>415</v>
      </c>
      <c r="B24" s="227" t="s">
        <v>416</v>
      </c>
      <c r="C24" s="227" t="s">
        <v>415</v>
      </c>
      <c r="D24" s="227" t="s">
        <v>417</v>
      </c>
      <c r="E24" s="228" t="s">
        <v>415</v>
      </c>
      <c r="F24" s="426" t="s">
        <v>418</v>
      </c>
      <c r="G24" s="427"/>
      <c r="H24" s="428"/>
    </row>
    <row r="25" spans="1:8" ht="15" thickBot="1" x14ac:dyDescent="0.35">
      <c r="A25" s="226" t="s">
        <v>419</v>
      </c>
      <c r="B25" s="227" t="s">
        <v>420</v>
      </c>
      <c r="C25" s="227" t="s">
        <v>419</v>
      </c>
      <c r="D25" s="227" t="s">
        <v>421</v>
      </c>
      <c r="E25" s="228" t="s">
        <v>419</v>
      </c>
      <c r="F25" s="426" t="s">
        <v>422</v>
      </c>
      <c r="G25" s="427"/>
      <c r="H25" s="428"/>
    </row>
    <row r="26" spans="1:8" ht="15" thickBot="1" x14ac:dyDescent="0.35">
      <c r="A26" s="229" t="s">
        <v>423</v>
      </c>
      <c r="B26" s="230">
        <v>46008</v>
      </c>
      <c r="C26" s="231" t="s">
        <v>423</v>
      </c>
      <c r="D26" s="230">
        <v>46008</v>
      </c>
      <c r="E26" s="232" t="s">
        <v>423</v>
      </c>
      <c r="F26" s="410">
        <v>46008</v>
      </c>
      <c r="G26" s="411"/>
      <c r="H26" s="412"/>
    </row>
    <row r="27" spans="1:8" ht="15" thickTop="1" x14ac:dyDescent="0.3"/>
    <row r="33" spans="3:3" x14ac:dyDescent="0.3">
      <c r="C33" s="12"/>
    </row>
  </sheetData>
  <mergeCells count="31">
    <mergeCell ref="F26:H26"/>
    <mergeCell ref="C12:F12"/>
    <mergeCell ref="G12:H12"/>
    <mergeCell ref="A21:H21"/>
    <mergeCell ref="A22:B22"/>
    <mergeCell ref="C22:D22"/>
    <mergeCell ref="E22:H22"/>
    <mergeCell ref="A23:B23"/>
    <mergeCell ref="C23:D23"/>
    <mergeCell ref="E23:H23"/>
    <mergeCell ref="F24:H24"/>
    <mergeCell ref="F25:H25"/>
    <mergeCell ref="C13:F13"/>
    <mergeCell ref="G13:H13"/>
    <mergeCell ref="C14:F14"/>
    <mergeCell ref="G14:H14"/>
    <mergeCell ref="C15:F15"/>
    <mergeCell ref="G15:H15"/>
    <mergeCell ref="C8:F8"/>
    <mergeCell ref="G8:H8"/>
    <mergeCell ref="A1:B3"/>
    <mergeCell ref="C1:H2"/>
    <mergeCell ref="A5:H5"/>
    <mergeCell ref="C7:F7"/>
    <mergeCell ref="G7:H7"/>
    <mergeCell ref="C9:F9"/>
    <mergeCell ref="G9:H9"/>
    <mergeCell ref="C10:F10"/>
    <mergeCell ref="G10:H10"/>
    <mergeCell ref="C11:F11"/>
    <mergeCell ref="G11:H11"/>
  </mergeCells>
  <phoneticPr fontId="5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CERTIFICADO</vt:lpstr>
      <vt:lpstr>DATOS INCERTIDUMBRE</vt:lpstr>
      <vt:lpstr>CÁLCULO INCERTIDUMBRE</vt:lpstr>
      <vt:lpstr>CONTROL DE CAMBIOS</vt:lpstr>
      <vt:lpstr>CERTIFICADO!Área_de_impresión</vt:lpstr>
    </vt:vector>
  </TitlesOfParts>
  <Manager/>
  <Company>Toshiba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INGRID</dc:creator>
  <cp:keywords/>
  <dc:description/>
  <cp:lastModifiedBy>Comercial</cp:lastModifiedBy>
  <cp:revision/>
  <dcterms:created xsi:type="dcterms:W3CDTF">2011-05-25T16:06:09Z</dcterms:created>
  <dcterms:modified xsi:type="dcterms:W3CDTF">2026-01-08T12:16:13Z</dcterms:modified>
  <cp:category/>
  <cp:contentStatus/>
</cp:coreProperties>
</file>